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1955A54CE1AB3C12/Documents/BU_MSC_CS/05_M05-Database_and_Cloud/02_Assignment_1/"/>
    </mc:Choice>
  </mc:AlternateContent>
  <xr:revisionPtr revIDLastSave="553" documentId="8_{AD394BF8-AA60-4D13-BDAD-816B0EF721CE}" xr6:coauthVersionLast="47" xr6:coauthVersionMax="47" xr10:uidLastSave="{43C2E85E-BA99-411D-9E66-CA0C2F01CF75}"/>
  <bookViews>
    <workbookView xWindow="28680" yWindow="-120" windowWidth="29040" windowHeight="15720" activeTab="7" xr2:uid="{3A0DD091-8C67-4007-B4F8-4028A48A5C86}"/>
  </bookViews>
  <sheets>
    <sheet name="TO DO" sheetId="8" r:id="rId1"/>
    <sheet name="Requirements" sheetId="1" r:id="rId2"/>
    <sheet name="ER Diagram" sheetId="4" r:id="rId3"/>
    <sheet name="Relational Schema" sheetId="3" r:id="rId4"/>
    <sheet name="Table SQL" sheetId="5" r:id="rId5"/>
    <sheet name="Data" sheetId="9" r:id="rId6"/>
    <sheet name="Query SQL" sheetId="6" r:id="rId7"/>
    <sheet name="Input SQL" sheetId="7" r:id="rId8"/>
    <sheet name="Edit SQL"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98" i="9" l="1"/>
  <c r="P99" i="9"/>
  <c r="P100" i="9"/>
  <c r="P101" i="9"/>
  <c r="P102" i="9"/>
  <c r="P103" i="9"/>
  <c r="P104" i="9"/>
  <c r="P105" i="9"/>
  <c r="P106" i="9"/>
  <c r="P107" i="9"/>
  <c r="P108" i="9"/>
  <c r="P97" i="9"/>
  <c r="P96" i="9"/>
  <c r="K113" i="9"/>
  <c r="K114" i="9"/>
  <c r="K115" i="9"/>
  <c r="K116" i="9"/>
  <c r="K117" i="9"/>
  <c r="K118" i="9"/>
  <c r="K119" i="9"/>
  <c r="K120" i="9"/>
  <c r="K121" i="9"/>
  <c r="K112" i="9"/>
  <c r="F78" i="9"/>
  <c r="H78" i="9" s="1"/>
  <c r="F79" i="9"/>
  <c r="F80" i="9"/>
  <c r="F81" i="9"/>
  <c r="F82" i="9"/>
  <c r="F83" i="9"/>
  <c r="F84" i="9"/>
  <c r="F85" i="9"/>
  <c r="F86" i="9"/>
  <c r="F87" i="9"/>
  <c r="F88" i="9"/>
  <c r="F89" i="9"/>
  <c r="F90" i="9"/>
  <c r="F91" i="9"/>
  <c r="F92" i="9"/>
  <c r="F77" i="9"/>
  <c r="H77" i="9" s="1"/>
  <c r="H79" i="9"/>
  <c r="H80" i="9"/>
  <c r="H81" i="9"/>
  <c r="H82" i="9"/>
  <c r="H83" i="9"/>
  <c r="H84" i="9"/>
  <c r="H85" i="9"/>
  <c r="H86" i="9"/>
  <c r="H87" i="9"/>
  <c r="H88" i="9"/>
  <c r="H89" i="9"/>
  <c r="H90" i="9"/>
  <c r="H91" i="9"/>
  <c r="H92" i="9"/>
  <c r="H76" i="9"/>
  <c r="K40" i="9"/>
  <c r="K42" i="9"/>
  <c r="K43" i="9"/>
  <c r="K44" i="9"/>
  <c r="K45" i="9"/>
  <c r="K46" i="9"/>
  <c r="K47" i="9"/>
  <c r="K48" i="9"/>
  <c r="K49" i="9"/>
  <c r="K50" i="9"/>
  <c r="K51" i="9"/>
  <c r="K52" i="9"/>
  <c r="K53" i="9"/>
  <c r="K54" i="9"/>
  <c r="K55" i="9"/>
  <c r="K56" i="9"/>
  <c r="K41" i="9"/>
  <c r="G28" i="9"/>
  <c r="I6" i="9"/>
  <c r="I7" i="9"/>
  <c r="I8" i="9"/>
  <c r="I5" i="9"/>
  <c r="K13" i="9"/>
  <c r="K14" i="9"/>
  <c r="K15" i="9"/>
  <c r="K16" i="9"/>
  <c r="K17" i="9"/>
  <c r="K18" i="9"/>
  <c r="K19" i="9"/>
  <c r="K20" i="9"/>
  <c r="K21" i="9"/>
  <c r="K22" i="9"/>
  <c r="K23" i="9"/>
  <c r="K24" i="9"/>
  <c r="K12" i="9"/>
  <c r="G29" i="9"/>
  <c r="G30" i="9"/>
  <c r="G31" i="9"/>
  <c r="G32" i="9"/>
  <c r="G33" i="9"/>
  <c r="G34" i="9"/>
  <c r="G35" i="9"/>
  <c r="G36" i="9"/>
  <c r="J61" i="9"/>
  <c r="J62" i="9"/>
  <c r="J63" i="9"/>
  <c r="J64" i="9"/>
  <c r="J65" i="9"/>
  <c r="J66" i="9"/>
  <c r="J67" i="9"/>
  <c r="J68" i="9"/>
  <c r="J69" i="9"/>
  <c r="J70" i="9"/>
  <c r="J71" i="9"/>
  <c r="J72" i="9"/>
  <c r="J60" i="9"/>
  <c r="N98" i="9"/>
  <c r="N99" i="9"/>
  <c r="N100" i="9"/>
  <c r="N101" i="9"/>
  <c r="N102" i="9"/>
  <c r="N103" i="9"/>
  <c r="N104" i="9"/>
  <c r="N105" i="9"/>
  <c r="N106" i="9"/>
  <c r="N107" i="9"/>
  <c r="N108" i="9"/>
  <c r="N97" i="9"/>
  <c r="M98" i="9"/>
  <c r="M99" i="9"/>
  <c r="M100" i="9"/>
  <c r="M101" i="9"/>
  <c r="M102" i="9"/>
  <c r="M103" i="9"/>
  <c r="M104" i="9"/>
  <c r="M105" i="9"/>
  <c r="M106" i="9"/>
  <c r="M107" i="9"/>
  <c r="M108" i="9"/>
  <c r="M97" i="9"/>
  <c r="C122" i="9"/>
  <c r="C123" i="9"/>
  <c r="C124" i="9"/>
</calcChain>
</file>

<file path=xl/sharedStrings.xml><?xml version="1.0" encoding="utf-8"?>
<sst xmlns="http://schemas.openxmlformats.org/spreadsheetml/2006/main" count="955" uniqueCount="457">
  <si>
    <t>Pilot</t>
  </si>
  <si>
    <t>Name</t>
  </si>
  <si>
    <t>Rank</t>
  </si>
  <si>
    <t>Need a min 1 captain per flight</t>
  </si>
  <si>
    <t>Pilots have to be rated for aircraft</t>
  </si>
  <si>
    <t>What rules on hours flown and downtime</t>
  </si>
  <si>
    <t>Flight</t>
  </si>
  <si>
    <t>Flight time</t>
  </si>
  <si>
    <t>Aircraft type</t>
  </si>
  <si>
    <t>Pilots</t>
  </si>
  <si>
    <t>Aircraft Rating</t>
  </si>
  <si>
    <t>Need a A-B distance table pre-populated to pull distance and therefore aircraft type</t>
  </si>
  <si>
    <t>Departure Date and Time GMT</t>
  </si>
  <si>
    <t>Arrival Date and Time GMT</t>
  </si>
  <si>
    <t>Departure Date and Time Local</t>
  </si>
  <si>
    <t>Arrival Date and Time Local</t>
  </si>
  <si>
    <t>Calculation from flight time</t>
  </si>
  <si>
    <t>Calculation from Local Time Adjust</t>
  </si>
  <si>
    <t>A350</t>
  </si>
  <si>
    <t>GMT+ hours</t>
  </si>
  <si>
    <t>Captain / First Officer</t>
  </si>
  <si>
    <t>Personel No.</t>
  </si>
  <si>
    <t>To keep personal details seperately from flight software</t>
  </si>
  <si>
    <t>Distance</t>
  </si>
  <si>
    <t>Miles distance</t>
  </si>
  <si>
    <t>Routes</t>
  </si>
  <si>
    <t>Lookup from routes table</t>
  </si>
  <si>
    <t>Route_ID</t>
  </si>
  <si>
    <t>Has to be viable route from routes table</t>
  </si>
  <si>
    <t>Hyphenation of departure and arrival destination</t>
  </si>
  <si>
    <t>Route_Name</t>
  </si>
  <si>
    <t>JetPop Regional</t>
  </si>
  <si>
    <t>Two types of aircraft?</t>
  </si>
  <si>
    <t>Aircraft _ID</t>
  </si>
  <si>
    <t>Aircraft</t>
  </si>
  <si>
    <t>Type</t>
  </si>
  <si>
    <t>Sum of hours scheduled</t>
  </si>
  <si>
    <t>Pilot_ID</t>
  </si>
  <si>
    <t>Aircraft_ID</t>
  </si>
  <si>
    <t>City</t>
  </si>
  <si>
    <t>Country</t>
  </si>
  <si>
    <t>Lookup from destinations table</t>
  </si>
  <si>
    <t>How to block pilots from being on more than one flight at same time????</t>
  </si>
  <si>
    <t>Reports needed</t>
  </si>
  <si>
    <t>Hours</t>
  </si>
  <si>
    <t>Same for aircraft</t>
  </si>
  <si>
    <t>Maybe a check loop when creating a flight - search pilot ID and aircraft ID in existing flights that cover same time window +2 hours either side</t>
  </si>
  <si>
    <t>Assumptions / Challenges</t>
  </si>
  <si>
    <t>Contracted Hours</t>
  </si>
  <si>
    <t>30 per week?</t>
  </si>
  <si>
    <t>Maintenance Hours</t>
  </si>
  <si>
    <t>Every 1000 hours</t>
  </si>
  <si>
    <t>Local Time Adjustment</t>
  </si>
  <si>
    <t>Airport_ID</t>
  </si>
  <si>
    <t>Drawn from interational airport code</t>
  </si>
  <si>
    <t>Lookup from locations Airport ID</t>
  </si>
  <si>
    <t>Airports</t>
  </si>
  <si>
    <t>Departure airport</t>
  </si>
  <si>
    <t>Destination airport</t>
  </si>
  <si>
    <t>Cruise Speed</t>
  </si>
  <si>
    <t>500mph</t>
  </si>
  <si>
    <t>Aircraft Types</t>
  </si>
  <si>
    <t>Route Type</t>
  </si>
  <si>
    <t>Short / Long haul calculated on route distance</t>
  </si>
  <si>
    <t>Calculated by looking up selected aircraft speed and route distance</t>
  </si>
  <si>
    <t>Destination Airport</t>
  </si>
  <si>
    <t>Departure Airport</t>
  </si>
  <si>
    <t>Combine into just two of the same field</t>
  </si>
  <si>
    <t>Airport</t>
  </si>
  <si>
    <t>Route name</t>
  </si>
  <si>
    <t>Direction</t>
  </si>
  <si>
    <t>Outbound (as in route), Return (reverse of route)</t>
  </si>
  <si>
    <t>Entered</t>
  </si>
  <si>
    <t>Selected pilot ID</t>
  </si>
  <si>
    <t>Captain</t>
  </si>
  <si>
    <t>Listed pilots (up to 3)</t>
  </si>
  <si>
    <t>Selected aircraft ID</t>
  </si>
  <si>
    <t>Assumed only point to point for simplicity - assumes passengers booking onto connecting flights doesn't effect as all considered point to point from airline point of view</t>
  </si>
  <si>
    <t>Flight Number</t>
  </si>
  <si>
    <t>Unique ID - IATA Airline two-character code followed by 1-4 digit number</t>
  </si>
  <si>
    <t>Registration number - https://en.wikipedia.org/wiki/List_of_aircraft_registration_prefixes</t>
  </si>
  <si>
    <t>G-AAAA to G-ZZZZ</t>
  </si>
  <si>
    <t>PK</t>
  </si>
  <si>
    <t>VARCHAR(3)</t>
  </si>
  <si>
    <t>INT</t>
  </si>
  <si>
    <t>VARCHAR(20)</t>
  </si>
  <si>
    <t>VARCHAR(4)</t>
  </si>
  <si>
    <t>BOOLEAN</t>
  </si>
  <si>
    <t>type</t>
  </si>
  <si>
    <t>active</t>
  </si>
  <si>
    <t>city</t>
  </si>
  <si>
    <t>country</t>
  </si>
  <si>
    <t>first_name</t>
  </si>
  <si>
    <t>surname</t>
  </si>
  <si>
    <t>captain</t>
  </si>
  <si>
    <t>manufacturer</t>
  </si>
  <si>
    <t>capacity</t>
  </si>
  <si>
    <t>model</t>
  </si>
  <si>
    <t>introduced</t>
  </si>
  <si>
    <t>hours</t>
  </si>
  <si>
    <t>location</t>
  </si>
  <si>
    <t>serial</t>
  </si>
  <si>
    <t>duration</t>
  </si>
  <si>
    <t>arrival_time</t>
  </si>
  <si>
    <t>return</t>
  </si>
  <si>
    <t>route</t>
  </si>
  <si>
    <t>flight_number</t>
  </si>
  <si>
    <t>designation</t>
  </si>
  <si>
    <t>departure_time</t>
  </si>
  <si>
    <t>FK</t>
  </si>
  <si>
    <t>airframe</t>
  </si>
  <si>
    <t>longhaul</t>
  </si>
  <si>
    <t>pointA</t>
  </si>
  <si>
    <t>pointB</t>
  </si>
  <si>
    <t>idEmployee</t>
  </si>
  <si>
    <t>idPilot</t>
  </si>
  <si>
    <t>registration</t>
  </si>
  <si>
    <t>idRoute</t>
  </si>
  <si>
    <t>apCode</t>
  </si>
  <si>
    <t>CK</t>
  </si>
  <si>
    <t>AK</t>
  </si>
  <si>
    <t>*foreign key simulated for assignment</t>
  </si>
  <si>
    <r>
      <t>FK</t>
    </r>
    <r>
      <rPr>
        <sz val="11"/>
        <color theme="1"/>
        <rFont val="Aptos Narrow"/>
        <family val="2"/>
        <scheme val="minor"/>
      </rPr>
      <t>*, AK</t>
    </r>
  </si>
  <si>
    <t>Creation SQL</t>
  </si>
  <si>
    <t>flights</t>
  </si>
  <si>
    <t>routes</t>
  </si>
  <si>
    <t>airports</t>
  </si>
  <si>
    <t>aircraft</t>
  </si>
  <si>
    <t>airframes</t>
  </si>
  <si>
    <t>pilots</t>
  </si>
  <si>
    <t>-</t>
  </si>
  <si>
    <t>pilots(idPilot)</t>
  </si>
  <si>
    <t>TEXT</t>
  </si>
  <si>
    <t>VARCHAR(7)</t>
  </si>
  <si>
    <t>routes(pointA)</t>
  </si>
  <si>
    <t>routes(pointB)</t>
  </si>
  <si>
    <t>routes(idRoute)</t>
  </si>
  <si>
    <t>routes(duration)</t>
  </si>
  <si>
    <t>airframes(registration)</t>
  </si>
  <si>
    <t>pilot</t>
  </si>
  <si>
    <t>pilot, type</t>
  </si>
  <si>
    <t>flight</t>
  </si>
  <si>
    <t>officer</t>
  </si>
  <si>
    <t>reserve</t>
  </si>
  <si>
    <t>CREATE TABLE aircraft (type VARCHAR(4) NOT NULL PRIMARY KEY, manufacturer VARCHAR(20), model VARCHAR(20) NOT NULL, capacity INT, longhaul BOOLEAN);</t>
  </si>
  <si>
    <t>CREATE TABLE airports (apCode VARCHAR(3) NOT NULL PRIMARY KEY, city VARCHAR(20), country VARCHAR(20));</t>
  </si>
  <si>
    <t>INT NOT NULL AUTOINCREMENT</t>
  </si>
  <si>
    <t>VARCHAR(3) NOT NULL</t>
  </si>
  <si>
    <t>VARCHAR(4) NOT NULL</t>
  </si>
  <si>
    <t>VARCHAR(20) NOT NULL</t>
  </si>
  <si>
    <t>VARCHAR(6) NOT NULL</t>
  </si>
  <si>
    <t>flights(flight_number) NOT NULL</t>
  </si>
  <si>
    <t>pilots(idPilot) NOT NULL</t>
  </si>
  <si>
    <t>routes(idRoute) NOT NULL</t>
  </si>
  <si>
    <t>airport(apCode) NOT NULL</t>
  </si>
  <si>
    <t>aircraft(type) NOT NULL</t>
  </si>
  <si>
    <t>CREATE TABLE airframes (registration VARCHAR(6) NOT NULL PRIMARY KEY, serial INT, type VARCHAR(4) NOT NULL, introduced TEXT, hours INT, location VARCHAR(3) NOT NULL, active BOOLEAN, FOREIGN KEY (type) REFERENCES aircraft(type) ON DELETE CASCADE, FOREIGN KEY (location) REFERENCES airports(apCode));</t>
  </si>
  <si>
    <t>certifications</t>
  </si>
  <si>
    <t>INT NUT NULL</t>
  </si>
  <si>
    <t>TEXT AS (departure_time + routes(duration))</t>
  </si>
  <si>
    <t>BOOLEAN AS (routes(duration) &gt; 360)</t>
  </si>
  <si>
    <t>VIEW FLIGHTS BY….....</t>
  </si>
  <si>
    <t>VIEW PILOT SCHEDULE</t>
  </si>
  <si>
    <t>INPUTS:</t>
  </si>
  <si>
    <t>ROUTE…....</t>
  </si>
  <si>
    <t>TYPE….......</t>
  </si>
  <si>
    <t>LONGHAUL….......</t>
  </si>
  <si>
    <t>DEPARTURE…....</t>
  </si>
  <si>
    <t>DESTINATION…......</t>
  </si>
  <si>
    <t>AIRCRAFT TYPE….......</t>
  </si>
  <si>
    <t xml:space="preserve">apCode </t>
  </si>
  <si>
    <t>flights(designation)</t>
  </si>
  <si>
    <t>FROM:</t>
  </si>
  <si>
    <t>RETURNS:</t>
  </si>
  <si>
    <t>CONDITIONS:</t>
  </si>
  <si>
    <t>flights(scheduled) == TRUE</t>
  </si>
  <si>
    <t>routes(pointA) = INPUT</t>
  </si>
  <si>
    <t>routes(pointB) = INPUT</t>
  </si>
  <si>
    <t>flights(longhaul) == TRUE</t>
  </si>
  <si>
    <t>MAX DURATION…......</t>
  </si>
  <si>
    <t>flights(departure_time)</t>
  </si>
  <si>
    <t>airframes(type) = INPUT</t>
  </si>
  <si>
    <t>PRIORITY</t>
  </si>
  <si>
    <t>ADD NEW FLIGHT….....</t>
  </si>
  <si>
    <t>UPDATE FLIGHT….....</t>
  </si>
  <si>
    <t>ASSIGN CREW….....</t>
  </si>
  <si>
    <t>VIEW ROUTES</t>
  </si>
  <si>
    <t>AIRPORT…....</t>
  </si>
  <si>
    <t>name = (routes(pointA) + '-' + routes(pointB))</t>
  </si>
  <si>
    <t>routes(pointA), routes(pointB) = INPUT</t>
  </si>
  <si>
    <t>routes(active)</t>
  </si>
  <si>
    <t>routes(duration) &lt;= INPUT</t>
  </si>
  <si>
    <t>INPUT:</t>
  </si>
  <si>
    <t>flight(flight_number)</t>
  </si>
  <si>
    <t>crewed</t>
  </si>
  <si>
    <t>flight(crewed) == FALSE</t>
  </si>
  <si>
    <t>flight(flight_number) == NOT NULL</t>
  </si>
  <si>
    <t>pilots(idPilot) == NOT NULL</t>
  </si>
  <si>
    <t>pilots(captain) == TRUE</t>
  </si>
  <si>
    <t>ACTION:</t>
  </si>
  <si>
    <t>pilots(active) == TRUE</t>
  </si>
  <si>
    <t>CREATE flight</t>
  </si>
  <si>
    <t>ACTIONS:</t>
  </si>
  <si>
    <t>MASK:</t>
  </si>
  <si>
    <t>CALCULATE:</t>
  </si>
  <si>
    <t>designation = 'JP-' + flight_number</t>
  </si>
  <si>
    <t>route(idRoute)</t>
  </si>
  <si>
    <t>YYYY-MM-DD HH:MM</t>
  </si>
  <si>
    <t>longhaul = route(duration) &gt;= 360 == TRUE</t>
  </si>
  <si>
    <t>arrival_time = departure_time + route(duration)</t>
  </si>
  <si>
    <t>VARCHAR(6)</t>
  </si>
  <si>
    <t>routes(active) == TRUE</t>
  </si>
  <si>
    <t>airframes(active) == TRUE</t>
  </si>
  <si>
    <t>scheduled == FALSE</t>
  </si>
  <si>
    <t>active == TRUE</t>
  </si>
  <si>
    <t>route(idRoute) == NOT NULL</t>
  </si>
  <si>
    <t>airframes(registration) == NOT NULL</t>
  </si>
  <si>
    <t>UPDATE ROUTE….........</t>
  </si>
  <si>
    <t>AUTOINCREMENT</t>
  </si>
  <si>
    <t>UPDATE routes</t>
  </si>
  <si>
    <t>crews</t>
  </si>
  <si>
    <t>crews(captain), crews(officer), crews(reserve) = INPUT</t>
  </si>
  <si>
    <t>CREATE crews</t>
  </si>
  <si>
    <t>idRoute == NOT NULL</t>
  </si>
  <si>
    <t>duration == NOT NULL</t>
  </si>
  <si>
    <t>flight_number == NOT NULL</t>
  </si>
  <si>
    <t>UPDATE flights</t>
  </si>
  <si>
    <t>OPTION 1:</t>
  </si>
  <si>
    <t>CONDITION 1:</t>
  </si>
  <si>
    <t>OPTION 2:</t>
  </si>
  <si>
    <t>CONDITION 2:</t>
  </si>
  <si>
    <t>OPTION 3:</t>
  </si>
  <si>
    <t>CONDITION 3:</t>
  </si>
  <si>
    <t>departure_time &gt; NOW</t>
  </si>
  <si>
    <t>departure_time == NOT NULL</t>
  </si>
  <si>
    <t>UPDATE flights(scheduled) == TRUE</t>
  </si>
  <si>
    <t>WHERE routes.duration &gt;= "INPUT"</t>
  </si>
  <si>
    <t>WHERE routes.pointA = "apCode" OR routes.pointB = "INPUT"</t>
  </si>
  <si>
    <t>ORDER BY routes.duration DESC</t>
  </si>
  <si>
    <t>ORDER BY routes.idRoute ASC</t>
  </si>
  <si>
    <t>flight(departure_time)</t>
  </si>
  <si>
    <t>(SELECT crew.flight</t>
  </si>
  <si>
    <t>FROM crew</t>
  </si>
  <si>
    <t>FROM flights</t>
  </si>
  <si>
    <t>FROM routes</t>
  </si>
  <si>
    <t>AND flights.route =</t>
  </si>
  <si>
    <t>WHERE EITHER captain, officer, reserve = "INPUT");</t>
  </si>
  <si>
    <t>CHANGE ROUTE SO THE PRIMARY KEY IS COMPOSITE OF POINTA + '-' + POINT B</t>
  </si>
  <si>
    <t>pointA, pointB</t>
  </si>
  <si>
    <t>certifications(pilot) = id(Pilot)</t>
  </si>
  <si>
    <t>CHECK THAT PILOTS ARE CERTIFIED FOR THAT TYPE</t>
  </si>
  <si>
    <t>WHERE flights.active = TRUE</t>
  </si>
  <si>
    <t>flights(route)</t>
  </si>
  <si>
    <t>flight(route)</t>
  </si>
  <si>
    <t xml:space="preserve">AND flights.designation = </t>
  </si>
  <si>
    <t xml:space="preserve">WHERE flights.scheduled = TRUE </t>
  </si>
  <si>
    <t>check!</t>
  </si>
  <si>
    <t>how to deal with composite keys queries</t>
  </si>
  <si>
    <t>how to show cardinality under UML in the relational schema</t>
  </si>
  <si>
    <t>how to show composite keys on the UML ER diagram</t>
  </si>
  <si>
    <t>Check table SQL correct and copy into report</t>
  </si>
  <si>
    <t>WHERE pointA = "INPUT");</t>
  </si>
  <si>
    <t>SELECT *</t>
  </si>
  <si>
    <t>(SELECT routes.pointA, routes.pointB</t>
  </si>
  <si>
    <t>WHERE pointB = "INPUT");</t>
  </si>
  <si>
    <t xml:space="preserve">SELECT * </t>
  </si>
  <si>
    <t xml:space="preserve">code table creation </t>
  </si>
  <si>
    <t>code queries</t>
  </si>
  <si>
    <t>create dummy data</t>
  </si>
  <si>
    <t>Airbus</t>
  </si>
  <si>
    <t>B737</t>
  </si>
  <si>
    <t>Boeing</t>
  </si>
  <si>
    <t>737-700</t>
  </si>
  <si>
    <t>A350-900</t>
  </si>
  <si>
    <t>A359</t>
  </si>
  <si>
    <t>A320neo</t>
  </si>
  <si>
    <t>A20N</t>
  </si>
  <si>
    <t>G-XWBA</t>
  </si>
  <si>
    <t>G-XWBB</t>
  </si>
  <si>
    <t>G-XWBC</t>
  </si>
  <si>
    <t>G-XWBG</t>
  </si>
  <si>
    <t>G-XWBH</t>
  </si>
  <si>
    <t>G-XWBI</t>
  </si>
  <si>
    <t>G-TTNA</t>
  </si>
  <si>
    <t>G-TTNE</t>
  </si>
  <si>
    <t>G-TTNF</t>
  </si>
  <si>
    <t>G-TTNJ</t>
  </si>
  <si>
    <t>G-JPKA</t>
  </si>
  <si>
    <t>G-JPKB</t>
  </si>
  <si>
    <t>LHR</t>
  </si>
  <si>
    <t>London</t>
  </si>
  <si>
    <t>UK</t>
  </si>
  <si>
    <t>BRS</t>
  </si>
  <si>
    <t>Bristol</t>
  </si>
  <si>
    <t>YVR</t>
  </si>
  <si>
    <t>Vancouver</t>
  </si>
  <si>
    <t>Canada</t>
  </si>
  <si>
    <t>YUL</t>
  </si>
  <si>
    <t>Montreal</t>
  </si>
  <si>
    <t>LYN</t>
  </si>
  <si>
    <t>Lyon</t>
  </si>
  <si>
    <t>France</t>
  </si>
  <si>
    <t>HAM</t>
  </si>
  <si>
    <t>Hamburg</t>
  </si>
  <si>
    <t>Germany</t>
  </si>
  <si>
    <t>HND</t>
  </si>
  <si>
    <t>Tokyo</t>
  </si>
  <si>
    <t>Japan</t>
  </si>
  <si>
    <t>Hanoi</t>
  </si>
  <si>
    <t>Vietnam</t>
  </si>
  <si>
    <t>HAN</t>
  </si>
  <si>
    <t>001</t>
  </si>
  <si>
    <t>002</t>
  </si>
  <si>
    <t>003</t>
  </si>
  <si>
    <t>004</t>
  </si>
  <si>
    <t>005</t>
  </si>
  <si>
    <t>006</t>
  </si>
  <si>
    <t>007</t>
  </si>
  <si>
    <t>008</t>
  </si>
  <si>
    <t>009</t>
  </si>
  <si>
    <t>010</t>
  </si>
  <si>
    <t>011</t>
  </si>
  <si>
    <t>012</t>
  </si>
  <si>
    <t>Vance</t>
  </si>
  <si>
    <t>Sterling</t>
  </si>
  <si>
    <t>Amara</t>
  </si>
  <si>
    <t>Leo</t>
  </si>
  <si>
    <t>Cross</t>
  </si>
  <si>
    <t>Maya</t>
  </si>
  <si>
    <t>Lin</t>
  </si>
  <si>
    <t>Jaques</t>
  </si>
  <si>
    <t>Mercier</t>
  </si>
  <si>
    <t>Zane</t>
  </si>
  <si>
    <t>Castillo</t>
  </si>
  <si>
    <t>Kenji</t>
  </si>
  <si>
    <t>Sato</t>
  </si>
  <si>
    <t>Mateo</t>
  </si>
  <si>
    <t>Silva</t>
  </si>
  <si>
    <t>Priya</t>
  </si>
  <si>
    <t>Nair</t>
  </si>
  <si>
    <t>Wei</t>
  </si>
  <si>
    <t>Zayn</t>
  </si>
  <si>
    <t>Hashmi</t>
  </si>
  <si>
    <t>Tucker</t>
  </si>
  <si>
    <t>057</t>
  </si>
  <si>
    <t>058</t>
  </si>
  <si>
    <t>059</t>
  </si>
  <si>
    <t>060</t>
  </si>
  <si>
    <t>061</t>
  </si>
  <si>
    <t>062</t>
  </si>
  <si>
    <t>063</t>
  </si>
  <si>
    <t>064</t>
  </si>
  <si>
    <t>065</t>
  </si>
  <si>
    <t>066</t>
  </si>
  <si>
    <t>067</t>
  </si>
  <si>
    <t>068</t>
  </si>
  <si>
    <t>BRSLYN</t>
  </si>
  <si>
    <t>BRSHAM</t>
  </si>
  <si>
    <t>HAMLYN</t>
  </si>
  <si>
    <t>HAMBRS</t>
  </si>
  <si>
    <t>LYNBRS</t>
  </si>
  <si>
    <t>YVRHND</t>
  </si>
  <si>
    <t>LHRYVR</t>
  </si>
  <si>
    <t>LHRYUL</t>
  </si>
  <si>
    <t>YULLHR</t>
  </si>
  <si>
    <t>HNDLHR</t>
  </si>
  <si>
    <t>JP-057</t>
  </si>
  <si>
    <t>JP-058</t>
  </si>
  <si>
    <t>JP-059</t>
  </si>
  <si>
    <t>JP-060</t>
  </si>
  <si>
    <t>JP-061</t>
  </si>
  <si>
    <t>JP-062</t>
  </si>
  <si>
    <t>JP-063</t>
  </si>
  <si>
    <t>JP-064</t>
  </si>
  <si>
    <t>JP-065</t>
  </si>
  <si>
    <t>JP-066</t>
  </si>
  <si>
    <t>JP-067</t>
  </si>
  <si>
    <t>JP-068</t>
  </si>
  <si>
    <t>YVRLHR</t>
  </si>
  <si>
    <t>LHRHND</t>
  </si>
  <si>
    <t>LHRHAN</t>
  </si>
  <si>
    <t>HANLHR</t>
  </si>
  <si>
    <t>LYNHAM</t>
  </si>
  <si>
    <t>HNDYVR</t>
  </si>
  <si>
    <t>Jessica</t>
  </si>
  <si>
    <t>Conversion</t>
  </si>
  <si>
    <t>CREATE TABLE pilots (idPilot INTEGER NOT NULL PRIMARY KEY AUTOINCREMENT, idEmployee INT NOT NULL, first_name VARCHAR(20), surname VARCHAR(20), captain BOOLEAN, active BOOLEAN);</t>
  </si>
  <si>
    <t>013</t>
  </si>
  <si>
    <t>014</t>
  </si>
  <si>
    <t>015</t>
  </si>
  <si>
    <t>016</t>
  </si>
  <si>
    <t>0010</t>
  </si>
  <si>
    <t>0011</t>
  </si>
  <si>
    <t>0020</t>
  </si>
  <si>
    <t>0021</t>
  </si>
  <si>
    <t>0030</t>
  </si>
  <si>
    <t>0031</t>
  </si>
  <si>
    <t>0040</t>
  </si>
  <si>
    <t>0041</t>
  </si>
  <si>
    <t>0050</t>
  </si>
  <si>
    <t>0051</t>
  </si>
  <si>
    <t>0060</t>
  </si>
  <si>
    <t>0061</t>
  </si>
  <si>
    <t>0070</t>
  </si>
  <si>
    <t>0071</t>
  </si>
  <si>
    <t>0080</t>
  </si>
  <si>
    <t>0081</t>
  </si>
  <si>
    <t>route_uq</t>
  </si>
  <si>
    <t>UNIQUE</t>
  </si>
  <si>
    <t>certificate_uq</t>
  </si>
  <si>
    <t>idCertification</t>
  </si>
  <si>
    <t>INT AUTOINCREMENT</t>
  </si>
  <si>
    <t>idCrew</t>
  </si>
  <si>
    <t>certification_uq</t>
  </si>
  <si>
    <t>CREATE TABLE flights (flight_number INTEGER NOT NULL PRIMARY KEY AUTOINCREMENT, designation VARCHAR(7), route INT NOT NULL, departure_time TEXT, longhaul BOOLEAN, arrival_time TEXT, airframe VARCHAR(6), crewed BOOLEAN, active BOOLEAN, FOREIGN KEY (route) REFERENCES routes(idRoute) ON DELETE CASCADE, FOREIGN KEY (airframe) REFERENCES airframes(registration));</t>
  </si>
  <si>
    <t>CREATE TABLE routes (idRoute INTEGER NOT NULL PRIMARY KEY AUTOINCREMENT, pointA VARCHAR(3) NOT NULL, pointB VARCHAR(3) NOT NULL, route_uq VARCHAR(6) UNIQUE, duration INT NOT NULL, active BOOLEAN, FOREIGN KEY (pointA) REFERENCES airport(apCode) ON DELETE CASCADE, FOREIGN KEY (pointB) REFERENCES airports(apCode) ON DELETE CASCADE);</t>
  </si>
  <si>
    <t>CREATE TABLE certifications (idCertification INTEGER NOT NULL PRIMARY KEY AUTOINCREMENT, pilot INT NOT NULL, type VARCHAR(4) NOT NULL, certification_uq VARCHAR(10) UNIQUE, FOREIGN KEY (pilot) REFERENCES pilots(idPilot) ON DELETE CASCADE, FOREIGN KEY (type) REFERENCES aircraft(type) ON DELETE CASCADE);</t>
  </si>
  <si>
    <t>Ref</t>
  </si>
  <si>
    <t>00131</t>
  </si>
  <si>
    <t>00132</t>
  </si>
  <si>
    <t>00133</t>
  </si>
  <si>
    <t>00134</t>
  </si>
  <si>
    <t>00135</t>
  </si>
  <si>
    <t>00136</t>
  </si>
  <si>
    <t>00137</t>
  </si>
  <si>
    <t>00138</t>
  </si>
  <si>
    <t>00139</t>
  </si>
  <si>
    <t>CREATE TABLE crews (idCrew INTEGER NOT NULL PRIMARY KEY AUTOINCREMENT, flight INT NOT NULL, captain INT NOT NULL, officer INT, reserve INT, FOREIGN KEY (flight) REFERENCES flights(flight_number) ON DELETE CASCADE, FOREIGN KEY (captain) REFERENCES pilots(idPilot) ON DELETE CASCADE, FOREIGN KEY (officer) REFERENCES pilots(idPilot), FOREIGN KEY (reserve) REFERENCES pilots(idPilot));</t>
  </si>
  <si>
    <t>remove table creation code from main.py</t>
  </si>
  <si>
    <t>(SELECT routes.idRoute</t>
  </si>
  <si>
    <t>consider join as way of bringing in airport, airframe, and crew data rather than SQL within the python script</t>
  </si>
  <si>
    <t>consider join to pull flight information together? But not sure if it works like that on this as parsing the flight number from crew into the flight SQL</t>
  </si>
  <si>
    <t>INT NOT NULL</t>
  </si>
  <si>
    <t>INT NOT NULL = routes.idRoute</t>
  </si>
  <si>
    <t>BOOLEAN = (routes.duration &gt; 360)</t>
  </si>
  <si>
    <t>TEXT = (departure_time + routes.duration)</t>
  </si>
  <si>
    <t>VARCHAR(6) = airframes.registration</t>
  </si>
  <si>
    <t>VARCHAR(3) NOT NULL = airport.apCode</t>
  </si>
  <si>
    <t>VARCHAR(3) NOT NULL = airports.apCode</t>
  </si>
  <si>
    <t>VARCHAR(4) NOT NULL = aircraft.type</t>
  </si>
  <si>
    <t>INT NOT NULL = pilots.idPilot</t>
  </si>
  <si>
    <t>INT = pilots.idPilot</t>
  </si>
  <si>
    <t>INT NOT NULL = flights.flight_number</t>
  </si>
  <si>
    <t>VARCHAR(7) = ("JP-" &amp; flight_number)</t>
  </si>
  <si>
    <t>UNIQUE, AK</t>
  </si>
  <si>
    <t>create one flight input code</t>
  </si>
  <si>
    <t>create one edit route code</t>
  </si>
  <si>
    <t>complete report</t>
  </si>
  <si>
    <t>tidy up dead code</t>
  </si>
  <si>
    <t>merge github</t>
  </si>
  <si>
    <t>upload submission</t>
  </si>
  <si>
    <t>check not nulls, alternative keys in SQL and code</t>
  </si>
  <si>
    <t>comment on code</t>
  </si>
  <si>
    <t>VARCHAR(10) = pilot, type</t>
  </si>
  <si>
    <t>VARCHAR(6) = pointA, pointB</t>
  </si>
  <si>
    <t xml:space="preserve">check == "TRUE" </t>
  </si>
  <si>
    <t>write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</si>
</sst>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rgb="FFFF0000"/>
      <name val="Aptos Narrow"/>
      <family val="2"/>
      <scheme val="minor"/>
    </font>
    <font>
      <b/>
      <sz val="11"/>
      <color theme="1"/>
      <name val="Aptos Narrow"/>
      <family val="2"/>
      <scheme val="minor"/>
    </font>
    <font>
      <b/>
      <i/>
      <sz val="11"/>
      <color theme="1"/>
      <name val="Aptos Narrow"/>
      <family val="2"/>
      <scheme val="minor"/>
    </font>
    <font>
      <sz val="11"/>
      <color theme="9" tint="-0.249977111117893"/>
      <name val="Aptos Narrow"/>
      <family val="2"/>
      <scheme val="minor"/>
    </font>
    <font>
      <i/>
      <sz val="11"/>
      <color theme="9" tint="-0.249977111117893"/>
      <name val="Aptos Narrow"/>
      <family val="2"/>
      <scheme val="minor"/>
    </font>
    <font>
      <u/>
      <sz val="11"/>
      <color theme="1"/>
      <name val="Aptos Narrow"/>
      <family val="2"/>
      <scheme val="minor"/>
    </font>
    <font>
      <b/>
      <i/>
      <u/>
      <sz val="11"/>
      <color rgb="FFFF0000"/>
      <name val="Aptos Narrow"/>
      <family val="2"/>
      <scheme val="minor"/>
    </font>
    <font>
      <strike/>
      <sz val="11"/>
      <color theme="1"/>
      <name val="Aptos Narrow"/>
      <family val="2"/>
      <scheme val="minor"/>
    </font>
    <font>
      <sz val="11"/>
      <name val="Aptos Narrow"/>
      <family val="2"/>
      <scheme val="minor"/>
    </font>
    <font>
      <i/>
      <sz val="11"/>
      <color theme="1"/>
      <name val="Aptos Narrow"/>
      <family val="2"/>
      <scheme val="minor"/>
    </font>
    <font>
      <b/>
      <u/>
      <sz val="11"/>
      <color theme="1"/>
      <name val="Aptos Narrow"/>
      <family val="2"/>
      <scheme val="minor"/>
    </font>
    <font>
      <b/>
      <sz val="11"/>
      <color theme="8"/>
      <name val="Aptos Narrow"/>
      <family val="2"/>
      <scheme val="minor"/>
    </font>
    <font>
      <b/>
      <u/>
      <sz val="11"/>
      <color theme="8"/>
      <name val="Aptos Narrow"/>
      <family val="2"/>
      <scheme val="minor"/>
    </font>
    <font>
      <b/>
      <sz val="11"/>
      <color rgb="FFFF0000"/>
      <name val="Aptos Narrow"/>
      <family val="2"/>
      <scheme val="minor"/>
    </font>
    <font>
      <b/>
      <u/>
      <sz val="11"/>
      <color rgb="FFFF0000"/>
      <name val="Aptos Narrow"/>
      <family val="2"/>
      <scheme val="minor"/>
    </font>
    <font>
      <sz val="11"/>
      <color theme="5" tint="-0.249977111117893"/>
      <name val="Aptos Narrow"/>
      <family val="2"/>
      <scheme val="minor"/>
    </font>
    <font>
      <sz val="8"/>
      <name val="Aptos Narrow"/>
      <family val="2"/>
      <scheme val="minor"/>
    </font>
    <font>
      <sz val="11"/>
      <color theme="6" tint="-0.249977111117893"/>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53">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2" borderId="0" xfId="0" applyFont="1" applyFill="1"/>
    <xf numFmtId="0" fontId="7" fillId="2" borderId="0" xfId="0" applyFont="1" applyFill="1" applyAlignment="1">
      <alignment horizontal="center" vertical="center"/>
    </xf>
    <xf numFmtId="0" fontId="8" fillId="0" borderId="0" xfId="0" applyFont="1"/>
    <xf numFmtId="0" fontId="0" fillId="0" borderId="1" xfId="0" applyBorder="1"/>
    <xf numFmtId="0" fontId="6" fillId="0" borderId="1" xfId="0" applyFont="1" applyBorder="1"/>
    <xf numFmtId="0" fontId="0" fillId="0" borderId="4" xfId="0" applyBorder="1"/>
    <xf numFmtId="0" fontId="0" fillId="0" borderId="5" xfId="0" applyBorder="1"/>
    <xf numFmtId="0" fontId="0" fillId="0" borderId="6" xfId="0" applyBorder="1"/>
    <xf numFmtId="0" fontId="6" fillId="0" borderId="6" xfId="0" applyFont="1" applyBorder="1"/>
    <xf numFmtId="0" fontId="9" fillId="0" borderId="5" xfId="0" applyFont="1" applyBorder="1"/>
    <xf numFmtId="0" fontId="10" fillId="0" borderId="4" xfId="0" applyFont="1" applyBorder="1"/>
    <xf numFmtId="0" fontId="9" fillId="0" borderId="4" xfId="0" applyFont="1" applyBorder="1"/>
    <xf numFmtId="0" fontId="9" fillId="0" borderId="6" xfId="0" applyFont="1" applyBorder="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0" fillId="0" borderId="0" xfId="0" applyAlignment="1">
      <alignment horizontal="right"/>
    </xf>
    <xf numFmtId="0" fontId="14" fillId="0" borderId="0" xfId="0" applyFont="1"/>
    <xf numFmtId="0" fontId="1" fillId="0" borderId="0" xfId="0" applyFont="1" applyAlignment="1">
      <alignment horizontal="right"/>
    </xf>
    <xf numFmtId="0" fontId="15" fillId="0" borderId="0" xfId="0" applyFont="1"/>
    <xf numFmtId="0" fontId="4" fillId="0" borderId="0" xfId="0" applyFont="1" applyAlignment="1">
      <alignment horizontal="left"/>
    </xf>
    <xf numFmtId="0" fontId="16" fillId="0" borderId="0" xfId="0" applyFont="1"/>
    <xf numFmtId="0" fontId="0" fillId="0" borderId="0" xfId="0" quotePrefix="1"/>
    <xf numFmtId="0" fontId="18" fillId="0" borderId="0" xfId="0" applyFont="1"/>
    <xf numFmtId="0" fontId="2" fillId="0" borderId="1" xfId="0" applyFont="1" applyBorder="1"/>
    <xf numFmtId="0" fontId="0" fillId="0" borderId="1" xfId="0" quotePrefix="1" applyBorder="1"/>
    <xf numFmtId="22" fontId="0" fillId="0" borderId="1" xfId="0" applyNumberFormat="1" applyBorder="1"/>
    <xf numFmtId="0" fontId="1" fillId="2" borderId="0" xfId="0" applyFont="1" applyFill="1"/>
    <xf numFmtId="0" fontId="0" fillId="0" borderId="5" xfId="0" applyBorder="1" applyAlignment="1">
      <alignment horizontal="left"/>
    </xf>
    <xf numFmtId="0" fontId="0" fillId="0" borderId="8" xfId="0" applyBorder="1"/>
    <xf numFmtId="0" fontId="6" fillId="0" borderId="4" xfId="0" applyFont="1" applyBorder="1"/>
    <xf numFmtId="0" fontId="2" fillId="0" borderId="0" xfId="0" applyFont="1" applyAlignment="1">
      <alignment horizontal="center"/>
    </xf>
    <xf numFmtId="0" fontId="9" fillId="0" borderId="1" xfId="0" applyFont="1" applyBorder="1"/>
    <xf numFmtId="0" fontId="0" fillId="0" borderId="9" xfId="0" applyBorder="1"/>
    <xf numFmtId="0" fontId="2" fillId="0" borderId="1" xfId="0" applyFont="1" applyBorder="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2" fillId="0" borderId="2" xfId="0" quotePrefix="1" applyFont="1" applyBorder="1" applyAlignment="1">
      <alignment horizontal="center"/>
    </xf>
    <xf numFmtId="0" fontId="2" fillId="0" borderId="7" xfId="0" quotePrefix="1" applyFont="1" applyBorder="1" applyAlignment="1">
      <alignment horizontal="center"/>
    </xf>
    <xf numFmtId="0" fontId="2" fillId="0" borderId="3" xfId="0" quotePrefix="1" applyFont="1" applyBorder="1" applyAlignment="1">
      <alignment horizontal="center"/>
    </xf>
    <xf numFmtId="0" fontId="0" fillId="3" borderId="2" xfId="0" applyFill="1" applyBorder="1" applyAlignment="1">
      <alignment horizontal="center"/>
    </xf>
    <xf numFmtId="0" fontId="0" fillId="3" borderId="7" xfId="0" applyFill="1" applyBorder="1" applyAlignment="1">
      <alignment horizontal="center"/>
    </xf>
    <xf numFmtId="0" fontId="0" fillId="3" borderId="3" xfId="0" applyFill="1" applyBorder="1" applyAlignment="1">
      <alignment horizontal="center"/>
    </xf>
    <xf numFmtId="0" fontId="0" fillId="3"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12</xdr:col>
      <xdr:colOff>58513</xdr:colOff>
      <xdr:row>13</xdr:row>
      <xdr:rowOff>18954</xdr:rowOff>
    </xdr:to>
    <xdr:pic>
      <xdr:nvPicPr>
        <xdr:cNvPr id="2" name="Picture 1">
          <a:extLst>
            <a:ext uri="{FF2B5EF4-FFF2-40B4-BE49-F238E27FC236}">
              <a16:creationId xmlns:a16="http://schemas.microsoft.com/office/drawing/2014/main" id="{BEA16650-B661-BD82-EB9E-F062559CB648}"/>
            </a:ext>
          </a:extLst>
        </xdr:cNvPr>
        <xdr:cNvPicPr>
          <a:picLocks noChangeAspect="1"/>
        </xdr:cNvPicPr>
      </xdr:nvPicPr>
      <xdr:blipFill>
        <a:blip xmlns:r="http://schemas.openxmlformats.org/officeDocument/2006/relationships" r:embed="rId1"/>
        <a:stretch>
          <a:fillRect/>
        </a:stretch>
      </xdr:blipFill>
      <xdr:spPr>
        <a:xfrm>
          <a:off x="613834" y="179917"/>
          <a:ext cx="6801154" cy="2191289"/>
        </a:xfrm>
        <a:prstGeom prst="rect">
          <a:avLst/>
        </a:prstGeom>
      </xdr:spPr>
    </xdr:pic>
    <xdr:clientData/>
  </xdr:twoCellAnchor>
  <xdr:twoCellAnchor editAs="oneCell">
    <xdr:from>
      <xdr:col>1</xdr:col>
      <xdr:colOff>0</xdr:colOff>
      <xdr:row>13</xdr:row>
      <xdr:rowOff>0</xdr:rowOff>
    </xdr:from>
    <xdr:to>
      <xdr:col>11</xdr:col>
      <xdr:colOff>587284</xdr:colOff>
      <xdr:row>20</xdr:row>
      <xdr:rowOff>174607</xdr:rowOff>
    </xdr:to>
    <xdr:pic>
      <xdr:nvPicPr>
        <xdr:cNvPr id="3" name="Picture 2">
          <a:extLst>
            <a:ext uri="{FF2B5EF4-FFF2-40B4-BE49-F238E27FC236}">
              <a16:creationId xmlns:a16="http://schemas.microsoft.com/office/drawing/2014/main" id="{C549E975-5D2F-6343-1B3A-993C2C228FD6}"/>
            </a:ext>
          </a:extLst>
        </xdr:cNvPr>
        <xdr:cNvPicPr>
          <a:picLocks noChangeAspect="1"/>
        </xdr:cNvPicPr>
      </xdr:nvPicPr>
      <xdr:blipFill>
        <a:blip xmlns:r="http://schemas.openxmlformats.org/officeDocument/2006/relationships" r:embed="rId2"/>
        <a:stretch>
          <a:fillRect/>
        </a:stretch>
      </xdr:blipFill>
      <xdr:spPr>
        <a:xfrm>
          <a:off x="613833" y="2338917"/>
          <a:ext cx="6721808" cy="1430213"/>
        </a:xfrm>
        <a:prstGeom prst="rect">
          <a:avLst/>
        </a:prstGeom>
      </xdr:spPr>
    </xdr:pic>
    <xdr:clientData/>
  </xdr:twoCellAnchor>
  <xdr:twoCellAnchor editAs="oneCell">
    <xdr:from>
      <xdr:col>12</xdr:col>
      <xdr:colOff>223942</xdr:colOff>
      <xdr:row>0</xdr:row>
      <xdr:rowOff>148167</xdr:rowOff>
    </xdr:from>
    <xdr:to>
      <xdr:col>22</xdr:col>
      <xdr:colOff>512869</xdr:colOff>
      <xdr:row>18</xdr:row>
      <xdr:rowOff>98678</xdr:rowOff>
    </xdr:to>
    <xdr:pic>
      <xdr:nvPicPr>
        <xdr:cNvPr id="5" name="Picture 4">
          <a:extLst>
            <a:ext uri="{FF2B5EF4-FFF2-40B4-BE49-F238E27FC236}">
              <a16:creationId xmlns:a16="http://schemas.microsoft.com/office/drawing/2014/main" id="{D8E40781-6272-AFB4-D4F5-484531FC5BFB}"/>
            </a:ext>
          </a:extLst>
        </xdr:cNvPr>
        <xdr:cNvPicPr>
          <a:picLocks noChangeAspect="1"/>
        </xdr:cNvPicPr>
      </xdr:nvPicPr>
      <xdr:blipFill>
        <a:blip xmlns:r="http://schemas.openxmlformats.org/officeDocument/2006/relationships" r:embed="rId3"/>
        <a:stretch>
          <a:fillRect/>
        </a:stretch>
      </xdr:blipFill>
      <xdr:spPr>
        <a:xfrm>
          <a:off x="7589942" y="148167"/>
          <a:ext cx="6436785" cy="3192821"/>
        </a:xfrm>
        <a:prstGeom prst="rect">
          <a:avLst/>
        </a:prstGeom>
      </xdr:spPr>
    </xdr:pic>
    <xdr:clientData/>
  </xdr:twoCellAnchor>
  <xdr:twoCellAnchor>
    <xdr:from>
      <xdr:col>8</xdr:col>
      <xdr:colOff>245745</xdr:colOff>
      <xdr:row>61</xdr:row>
      <xdr:rowOff>15240</xdr:rowOff>
    </xdr:from>
    <xdr:to>
      <xdr:col>9</xdr:col>
      <xdr:colOff>586740</xdr:colOff>
      <xdr:row>63</xdr:row>
      <xdr:rowOff>0</xdr:rowOff>
    </xdr:to>
    <xdr:sp macro="" textlink="">
      <xdr:nvSpPr>
        <xdr:cNvPr id="9" name="Right Brace 8">
          <a:extLst>
            <a:ext uri="{FF2B5EF4-FFF2-40B4-BE49-F238E27FC236}">
              <a16:creationId xmlns:a16="http://schemas.microsoft.com/office/drawing/2014/main" id="{2C2451D1-D8EB-89B3-01EB-A4D72A41B907}"/>
            </a:ext>
          </a:extLst>
        </xdr:cNvPr>
        <xdr:cNvSpPr/>
      </xdr:nvSpPr>
      <xdr:spPr>
        <a:xfrm>
          <a:off x="5122545" y="10873740"/>
          <a:ext cx="950595" cy="346710"/>
        </a:xfrm>
        <a:prstGeom prst="rightBrace">
          <a:avLst>
            <a:gd name="adj1" fmla="val 8333"/>
            <a:gd name="adj2" fmla="val 23684"/>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18415</xdr:colOff>
      <xdr:row>4</xdr:row>
      <xdr:rowOff>57137</xdr:rowOff>
    </xdr:from>
    <xdr:to>
      <xdr:col>28</xdr:col>
      <xdr:colOff>132218</xdr:colOff>
      <xdr:row>60</xdr:row>
      <xdr:rowOff>60036</xdr:rowOff>
    </xdr:to>
    <xdr:grpSp>
      <xdr:nvGrpSpPr>
        <xdr:cNvPr id="14" name="Group 13">
          <a:extLst>
            <a:ext uri="{FF2B5EF4-FFF2-40B4-BE49-F238E27FC236}">
              <a16:creationId xmlns:a16="http://schemas.microsoft.com/office/drawing/2014/main" id="{B513C30A-E497-D4C5-5114-6BE7457B1CA0}"/>
            </a:ext>
          </a:extLst>
        </xdr:cNvPr>
        <xdr:cNvGrpSpPr/>
      </xdr:nvGrpSpPr>
      <xdr:grpSpPr>
        <a:xfrm>
          <a:off x="625475" y="759447"/>
          <a:ext cx="16401553" cy="9774279"/>
          <a:chOff x="621665" y="755637"/>
          <a:chExt cx="16401553" cy="9781899"/>
        </a:xfrm>
      </xdr:grpSpPr>
      <xdr:sp macro="" textlink="">
        <xdr:nvSpPr>
          <xdr:cNvPr id="3" name="Rectangle 2">
            <a:extLst>
              <a:ext uri="{FF2B5EF4-FFF2-40B4-BE49-F238E27FC236}">
                <a16:creationId xmlns:a16="http://schemas.microsoft.com/office/drawing/2014/main" id="{3A86ABDA-8D50-481B-B3C6-84459200EEA3}"/>
              </a:ext>
            </a:extLst>
          </xdr:cNvPr>
          <xdr:cNvSpPr/>
        </xdr:nvSpPr>
        <xdr:spPr>
          <a:xfrm>
            <a:off x="2734586" y="2483862"/>
            <a:ext cx="1399243" cy="66612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ysClr val="windowText" lastClr="000000"/>
                </a:solidFill>
              </a:rPr>
              <a:t>pilots</a:t>
            </a:r>
          </a:p>
        </xdr:txBody>
      </xdr:sp>
      <xdr:sp macro="" textlink="">
        <xdr:nvSpPr>
          <xdr:cNvPr id="4" name="Rectangle 3">
            <a:extLst>
              <a:ext uri="{FF2B5EF4-FFF2-40B4-BE49-F238E27FC236}">
                <a16:creationId xmlns:a16="http://schemas.microsoft.com/office/drawing/2014/main" id="{0ECE185A-F4FE-458B-BFA7-A954BDCD8CAA}"/>
              </a:ext>
            </a:extLst>
          </xdr:cNvPr>
          <xdr:cNvSpPr/>
        </xdr:nvSpPr>
        <xdr:spPr>
          <a:xfrm>
            <a:off x="13969170" y="4624311"/>
            <a:ext cx="1318439" cy="60837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ysClr val="windowText" lastClr="000000"/>
                </a:solidFill>
              </a:rPr>
              <a:t>routes</a:t>
            </a:r>
          </a:p>
        </xdr:txBody>
      </xdr:sp>
      <xdr:sp macro="" textlink="">
        <xdr:nvSpPr>
          <xdr:cNvPr id="5" name="Diamond 4">
            <a:extLst>
              <a:ext uri="{FF2B5EF4-FFF2-40B4-BE49-F238E27FC236}">
                <a16:creationId xmlns:a16="http://schemas.microsoft.com/office/drawing/2014/main" id="{D56A2C70-6249-4409-BAE1-5A349638841A}"/>
              </a:ext>
            </a:extLst>
          </xdr:cNvPr>
          <xdr:cNvSpPr>
            <a:spLocks noChangeAspect="1"/>
          </xdr:cNvSpPr>
        </xdr:nvSpPr>
        <xdr:spPr>
          <a:xfrm>
            <a:off x="7147361" y="1959172"/>
            <a:ext cx="1468954" cy="1144037"/>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r>
              <a:rPr lang="en-GB" sz="1800">
                <a:solidFill>
                  <a:sysClr val="windowText" lastClr="000000"/>
                </a:solidFill>
                <a:latin typeface="+mn-lt"/>
                <a:ea typeface="+mn-ea"/>
                <a:cs typeface="+mn-cs"/>
              </a:rPr>
              <a:t>crews</a:t>
            </a:r>
          </a:p>
        </xdr:txBody>
      </xdr:sp>
      <xdr:sp macro="" textlink="">
        <xdr:nvSpPr>
          <xdr:cNvPr id="6" name="Rectangle 5">
            <a:extLst>
              <a:ext uri="{FF2B5EF4-FFF2-40B4-BE49-F238E27FC236}">
                <a16:creationId xmlns:a16="http://schemas.microsoft.com/office/drawing/2014/main" id="{229721C4-EFC1-45D3-9127-0B4285307C22}"/>
              </a:ext>
            </a:extLst>
          </xdr:cNvPr>
          <xdr:cNvSpPr/>
        </xdr:nvSpPr>
        <xdr:spPr>
          <a:xfrm>
            <a:off x="13712928" y="8823539"/>
            <a:ext cx="1318438" cy="6181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ysClr val="windowText" lastClr="000000"/>
                </a:solidFill>
              </a:rPr>
              <a:t>airports</a:t>
            </a:r>
          </a:p>
        </xdr:txBody>
      </xdr:sp>
      <xdr:sp macro="" textlink="">
        <xdr:nvSpPr>
          <xdr:cNvPr id="8" name="Rectangle 7">
            <a:extLst>
              <a:ext uri="{FF2B5EF4-FFF2-40B4-BE49-F238E27FC236}">
                <a16:creationId xmlns:a16="http://schemas.microsoft.com/office/drawing/2014/main" id="{A2B663E7-6BE4-450A-9EA2-AC1B235AAA7B}"/>
              </a:ext>
            </a:extLst>
          </xdr:cNvPr>
          <xdr:cNvSpPr/>
        </xdr:nvSpPr>
        <xdr:spPr>
          <a:xfrm>
            <a:off x="5444768" y="5816548"/>
            <a:ext cx="1363048" cy="63180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ysClr val="windowText" lastClr="000000"/>
                </a:solidFill>
              </a:rPr>
              <a:t>airframes</a:t>
            </a:r>
          </a:p>
        </xdr:txBody>
      </xdr:sp>
      <xdr:sp macro="" textlink="">
        <xdr:nvSpPr>
          <xdr:cNvPr id="10" name="Diamond 9">
            <a:extLst>
              <a:ext uri="{FF2B5EF4-FFF2-40B4-BE49-F238E27FC236}">
                <a16:creationId xmlns:a16="http://schemas.microsoft.com/office/drawing/2014/main" id="{2B4B9C36-8E4D-45D8-A602-A98F840343F5}"/>
              </a:ext>
            </a:extLst>
          </xdr:cNvPr>
          <xdr:cNvSpPr>
            <a:spLocks noChangeAspect="1"/>
          </xdr:cNvSpPr>
        </xdr:nvSpPr>
        <xdr:spPr>
          <a:xfrm>
            <a:off x="8393231" y="5575201"/>
            <a:ext cx="1209363" cy="1159284"/>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r>
              <a:rPr lang="en-GB" sz="1800">
                <a:solidFill>
                  <a:sysClr val="windowText" lastClr="000000"/>
                </a:solidFill>
                <a:latin typeface="+mn-lt"/>
                <a:ea typeface="+mn-ea"/>
                <a:cs typeface="+mn-cs"/>
              </a:rPr>
              <a:t>flying</a:t>
            </a:r>
          </a:p>
        </xdr:txBody>
      </xdr:sp>
      <xdr:sp macro="" textlink="">
        <xdr:nvSpPr>
          <xdr:cNvPr id="11" name="Diamond 10">
            <a:extLst>
              <a:ext uri="{FF2B5EF4-FFF2-40B4-BE49-F238E27FC236}">
                <a16:creationId xmlns:a16="http://schemas.microsoft.com/office/drawing/2014/main" id="{BAD67BF8-8037-4FEB-AF99-323D00F2819A}"/>
              </a:ext>
            </a:extLst>
          </xdr:cNvPr>
          <xdr:cNvSpPr>
            <a:spLocks noChangeAspect="1"/>
          </xdr:cNvSpPr>
        </xdr:nvSpPr>
        <xdr:spPr>
          <a:xfrm>
            <a:off x="10618906" y="4756053"/>
            <a:ext cx="1165994" cy="1136694"/>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r>
              <a:rPr lang="en-GB" sz="1800" baseline="0">
                <a:solidFill>
                  <a:sysClr val="windowText" lastClr="000000"/>
                </a:solidFill>
                <a:latin typeface="+mn-lt"/>
                <a:ea typeface="+mn-ea"/>
                <a:cs typeface="+mn-cs"/>
              </a:rPr>
              <a:t>servicing</a:t>
            </a:r>
          </a:p>
        </xdr:txBody>
      </xdr:sp>
      <xdr:sp macro="" textlink="">
        <xdr:nvSpPr>
          <xdr:cNvPr id="12" name="Diamond 11">
            <a:extLst>
              <a:ext uri="{FF2B5EF4-FFF2-40B4-BE49-F238E27FC236}">
                <a16:creationId xmlns:a16="http://schemas.microsoft.com/office/drawing/2014/main" id="{E22DDB00-34BE-438F-A152-E4BE3D86D1FE}"/>
              </a:ext>
            </a:extLst>
          </xdr:cNvPr>
          <xdr:cNvSpPr>
            <a:spLocks noChangeAspect="1"/>
          </xdr:cNvSpPr>
        </xdr:nvSpPr>
        <xdr:spPr>
          <a:xfrm>
            <a:off x="13822976" y="6351561"/>
            <a:ext cx="1181234" cy="1155492"/>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r>
              <a:rPr lang="en-GB" sz="1800">
                <a:solidFill>
                  <a:sysClr val="windowText" lastClr="000000"/>
                </a:solidFill>
                <a:latin typeface="+mn-lt"/>
                <a:ea typeface="+mn-ea"/>
                <a:cs typeface="+mn-cs"/>
              </a:rPr>
              <a:t>connecting</a:t>
            </a:r>
          </a:p>
        </xdr:txBody>
      </xdr:sp>
      <xdr:sp macro="" textlink="">
        <xdr:nvSpPr>
          <xdr:cNvPr id="9" name="Rectangle 8">
            <a:extLst>
              <a:ext uri="{FF2B5EF4-FFF2-40B4-BE49-F238E27FC236}">
                <a16:creationId xmlns:a16="http://schemas.microsoft.com/office/drawing/2014/main" id="{1663BEEA-3936-478A-A99C-9DC455905BA8}"/>
              </a:ext>
            </a:extLst>
          </xdr:cNvPr>
          <xdr:cNvSpPr/>
        </xdr:nvSpPr>
        <xdr:spPr>
          <a:xfrm>
            <a:off x="11128910" y="2862961"/>
            <a:ext cx="1337493" cy="64673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ysClr val="windowText" lastClr="000000"/>
                </a:solidFill>
              </a:rPr>
              <a:t>flights</a:t>
            </a:r>
          </a:p>
        </xdr:txBody>
      </xdr:sp>
      <xdr:cxnSp macro="">
        <xdr:nvCxnSpPr>
          <xdr:cNvPr id="16" name="Connector: Elbow 15">
            <a:extLst>
              <a:ext uri="{FF2B5EF4-FFF2-40B4-BE49-F238E27FC236}">
                <a16:creationId xmlns:a16="http://schemas.microsoft.com/office/drawing/2014/main" id="{F794E55C-9F1E-6A90-7177-772121FFCB0A}"/>
              </a:ext>
            </a:extLst>
          </xdr:cNvPr>
          <xdr:cNvCxnSpPr>
            <a:stCxn id="5" idx="3"/>
          </xdr:cNvCxnSpPr>
        </xdr:nvCxnSpPr>
        <xdr:spPr>
          <a:xfrm>
            <a:off x="8616315" y="2512131"/>
            <a:ext cx="2512060" cy="501451"/>
          </a:xfrm>
          <a:prstGeom prst="bentConnector3">
            <a:avLst>
              <a:gd name="adj1" fmla="val 50000"/>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8" name="Connector: Elbow 17">
            <a:extLst>
              <a:ext uri="{FF2B5EF4-FFF2-40B4-BE49-F238E27FC236}">
                <a16:creationId xmlns:a16="http://schemas.microsoft.com/office/drawing/2014/main" id="{38CB5DCC-C49F-B0ED-72B9-D8B3755C136B}"/>
              </a:ext>
            </a:extLst>
          </xdr:cNvPr>
          <xdr:cNvCxnSpPr>
            <a:stCxn id="10" idx="0"/>
          </xdr:cNvCxnSpPr>
        </xdr:nvCxnSpPr>
        <xdr:spPr>
          <a:xfrm rot="5400000" flipH="1" flipV="1">
            <a:off x="8991379" y="3461621"/>
            <a:ext cx="2123194" cy="2103965"/>
          </a:xfrm>
          <a:prstGeom prst="bentConnector2">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21" name="Connector: Elbow 20">
            <a:extLst>
              <a:ext uri="{FF2B5EF4-FFF2-40B4-BE49-F238E27FC236}">
                <a16:creationId xmlns:a16="http://schemas.microsoft.com/office/drawing/2014/main" id="{37140A1B-9FAA-FFB1-5627-B706C5688FFC}"/>
              </a:ext>
            </a:extLst>
          </xdr:cNvPr>
          <xdr:cNvCxnSpPr>
            <a:stCxn id="3" idx="3"/>
            <a:endCxn id="185" idx="2"/>
          </xdr:cNvCxnSpPr>
        </xdr:nvCxnSpPr>
        <xdr:spPr>
          <a:xfrm>
            <a:off x="4137639" y="2815973"/>
            <a:ext cx="3726836" cy="285948"/>
          </a:xfrm>
          <a:prstGeom prst="bentConnector4">
            <a:avLst>
              <a:gd name="adj1" fmla="val 34942"/>
              <a:gd name="adj2" fmla="val 298016"/>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23" name="Connector: Elbow 22">
            <a:extLst>
              <a:ext uri="{FF2B5EF4-FFF2-40B4-BE49-F238E27FC236}">
                <a16:creationId xmlns:a16="http://schemas.microsoft.com/office/drawing/2014/main" id="{56878EEA-263A-E94B-42C3-1021EE0D22E5}"/>
              </a:ext>
            </a:extLst>
          </xdr:cNvPr>
          <xdr:cNvCxnSpPr>
            <a:stCxn id="8" idx="3"/>
            <a:endCxn id="10" idx="1"/>
          </xdr:cNvCxnSpPr>
        </xdr:nvCxnSpPr>
        <xdr:spPr>
          <a:xfrm>
            <a:off x="6804008" y="6141028"/>
            <a:ext cx="1593033" cy="0"/>
          </a:xfrm>
          <a:prstGeom prst="bentConnector3">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25" name="Connector: Elbow 24">
            <a:extLst>
              <a:ext uri="{FF2B5EF4-FFF2-40B4-BE49-F238E27FC236}">
                <a16:creationId xmlns:a16="http://schemas.microsoft.com/office/drawing/2014/main" id="{49A74792-6E1D-296E-FC67-07E8E28C9ED1}"/>
              </a:ext>
            </a:extLst>
          </xdr:cNvPr>
          <xdr:cNvCxnSpPr>
            <a:endCxn id="11" idx="0"/>
          </xdr:cNvCxnSpPr>
        </xdr:nvCxnSpPr>
        <xdr:spPr>
          <a:xfrm rot="5400000">
            <a:off x="10672089" y="4058761"/>
            <a:ext cx="1242347" cy="152238"/>
          </a:xfrm>
          <a:prstGeom prst="bentConnector3">
            <a:avLst>
              <a:gd name="adj1" fmla="val 50000"/>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27" name="Connector: Elbow 26">
            <a:extLst>
              <a:ext uri="{FF2B5EF4-FFF2-40B4-BE49-F238E27FC236}">
                <a16:creationId xmlns:a16="http://schemas.microsoft.com/office/drawing/2014/main" id="{3AE54869-BEBB-1468-EEEB-D2C7A3A5E082}"/>
              </a:ext>
            </a:extLst>
          </xdr:cNvPr>
          <xdr:cNvCxnSpPr>
            <a:stCxn id="11" idx="3"/>
            <a:endCxn id="4" idx="1"/>
          </xdr:cNvCxnSpPr>
        </xdr:nvCxnSpPr>
        <xdr:spPr>
          <a:xfrm flipV="1">
            <a:off x="11788711" y="4940884"/>
            <a:ext cx="2184268" cy="383513"/>
          </a:xfrm>
          <a:prstGeom prst="bentConnector3">
            <a:avLst>
              <a:gd name="adj1" fmla="val 50000"/>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29" name="Connector: Elbow 28">
            <a:extLst>
              <a:ext uri="{FF2B5EF4-FFF2-40B4-BE49-F238E27FC236}">
                <a16:creationId xmlns:a16="http://schemas.microsoft.com/office/drawing/2014/main" id="{C53314AD-44C8-0689-2361-6ECF3CB49B9B}"/>
              </a:ext>
            </a:extLst>
          </xdr:cNvPr>
          <xdr:cNvCxnSpPr>
            <a:stCxn id="4" idx="2"/>
            <a:endCxn id="12" idx="0"/>
          </xdr:cNvCxnSpPr>
        </xdr:nvCxnSpPr>
        <xdr:spPr>
          <a:xfrm rot="5400000">
            <a:off x="13975367" y="5696634"/>
            <a:ext cx="1096015" cy="198603"/>
          </a:xfrm>
          <a:prstGeom prst="bentConnector3">
            <a:avLst>
              <a:gd name="adj1" fmla="val 50000"/>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31" name="Connector: Elbow 30">
            <a:extLst>
              <a:ext uri="{FF2B5EF4-FFF2-40B4-BE49-F238E27FC236}">
                <a16:creationId xmlns:a16="http://schemas.microsoft.com/office/drawing/2014/main" id="{1ABEF150-52B8-9D7A-26B5-CC9BE3FEFC15}"/>
              </a:ext>
            </a:extLst>
          </xdr:cNvPr>
          <xdr:cNvCxnSpPr>
            <a:stCxn id="12" idx="3"/>
            <a:endCxn id="6" idx="3"/>
          </xdr:cNvCxnSpPr>
        </xdr:nvCxnSpPr>
        <xdr:spPr>
          <a:xfrm>
            <a:off x="15004209" y="6917873"/>
            <a:ext cx="23347" cy="2218571"/>
          </a:xfrm>
          <a:prstGeom prst="bentConnector3">
            <a:avLst>
              <a:gd name="adj1" fmla="val 3693092"/>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39" name="Oval 38">
            <a:extLst>
              <a:ext uri="{FF2B5EF4-FFF2-40B4-BE49-F238E27FC236}">
                <a16:creationId xmlns:a16="http://schemas.microsoft.com/office/drawing/2014/main" id="{5958B215-5445-5584-DAD3-2D0A83468EC1}"/>
              </a:ext>
            </a:extLst>
          </xdr:cNvPr>
          <xdr:cNvSpPr>
            <a:spLocks noChangeAspect="1"/>
          </xdr:cNvSpPr>
        </xdr:nvSpPr>
        <xdr:spPr>
          <a:xfrm>
            <a:off x="1222409" y="2502215"/>
            <a:ext cx="1036976" cy="634492"/>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idPilot</a:t>
            </a:r>
          </a:p>
        </xdr:txBody>
      </xdr:sp>
      <xdr:sp macro="" textlink="">
        <xdr:nvSpPr>
          <xdr:cNvPr id="40" name="Oval 39">
            <a:extLst>
              <a:ext uri="{FF2B5EF4-FFF2-40B4-BE49-F238E27FC236}">
                <a16:creationId xmlns:a16="http://schemas.microsoft.com/office/drawing/2014/main" id="{2063EF74-55F5-4B19-B377-F5D5C9E3C0CF}"/>
              </a:ext>
            </a:extLst>
          </xdr:cNvPr>
          <xdr:cNvSpPr>
            <a:spLocks noChangeAspect="1"/>
          </xdr:cNvSpPr>
        </xdr:nvSpPr>
        <xdr:spPr>
          <a:xfrm>
            <a:off x="1192483" y="1629502"/>
            <a:ext cx="1130321" cy="636423"/>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i="0" u="none">
                <a:solidFill>
                  <a:sysClr val="windowText" lastClr="000000"/>
                </a:solidFill>
              </a:rPr>
              <a:t>idEmployee*</a:t>
            </a:r>
          </a:p>
        </xdr:txBody>
      </xdr:sp>
      <xdr:sp macro="" textlink="">
        <xdr:nvSpPr>
          <xdr:cNvPr id="41" name="Oval 40">
            <a:extLst>
              <a:ext uri="{FF2B5EF4-FFF2-40B4-BE49-F238E27FC236}">
                <a16:creationId xmlns:a16="http://schemas.microsoft.com/office/drawing/2014/main" id="{0FBF6BCC-EA18-4C3C-8B3C-F2FFAF141ACC}"/>
              </a:ext>
            </a:extLst>
          </xdr:cNvPr>
          <xdr:cNvSpPr>
            <a:spLocks noChangeAspect="1"/>
          </xdr:cNvSpPr>
        </xdr:nvSpPr>
        <xdr:spPr>
          <a:xfrm>
            <a:off x="12202092" y="8863665"/>
            <a:ext cx="1092221" cy="56207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apCode</a:t>
            </a:r>
          </a:p>
        </xdr:txBody>
      </xdr:sp>
      <xdr:sp macro="" textlink="">
        <xdr:nvSpPr>
          <xdr:cNvPr id="44" name="Oval 43">
            <a:extLst>
              <a:ext uri="{FF2B5EF4-FFF2-40B4-BE49-F238E27FC236}">
                <a16:creationId xmlns:a16="http://schemas.microsoft.com/office/drawing/2014/main" id="{7127A444-5316-45F5-B727-5C662F7BB54B}"/>
              </a:ext>
            </a:extLst>
          </xdr:cNvPr>
          <xdr:cNvSpPr>
            <a:spLocks noChangeAspect="1"/>
          </xdr:cNvSpPr>
        </xdr:nvSpPr>
        <xdr:spPr>
          <a:xfrm>
            <a:off x="15715051" y="5425037"/>
            <a:ext cx="1107461" cy="60937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pointA</a:t>
            </a:r>
          </a:p>
        </xdr:txBody>
      </xdr:sp>
      <xdr:sp macro="" textlink="">
        <xdr:nvSpPr>
          <xdr:cNvPr id="46" name="Oval 45">
            <a:extLst>
              <a:ext uri="{FF2B5EF4-FFF2-40B4-BE49-F238E27FC236}">
                <a16:creationId xmlns:a16="http://schemas.microsoft.com/office/drawing/2014/main" id="{F8173E11-1D75-4CFD-88B6-3211B76CC294}"/>
              </a:ext>
            </a:extLst>
          </xdr:cNvPr>
          <xdr:cNvSpPr>
            <a:spLocks noChangeAspect="1"/>
          </xdr:cNvSpPr>
        </xdr:nvSpPr>
        <xdr:spPr>
          <a:xfrm>
            <a:off x="1504354" y="967339"/>
            <a:ext cx="1099389" cy="598288"/>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first_name</a:t>
            </a:r>
          </a:p>
        </xdr:txBody>
      </xdr:sp>
      <xdr:sp macro="" textlink="">
        <xdr:nvSpPr>
          <xdr:cNvPr id="48" name="Oval 47">
            <a:extLst>
              <a:ext uri="{FF2B5EF4-FFF2-40B4-BE49-F238E27FC236}">
                <a16:creationId xmlns:a16="http://schemas.microsoft.com/office/drawing/2014/main" id="{F00AC11D-1389-4FD8-B9EF-4468AF637938}"/>
              </a:ext>
            </a:extLst>
          </xdr:cNvPr>
          <xdr:cNvSpPr>
            <a:spLocks noChangeAspect="1"/>
          </xdr:cNvSpPr>
        </xdr:nvSpPr>
        <xdr:spPr>
          <a:xfrm>
            <a:off x="2738672" y="911879"/>
            <a:ext cx="1103198" cy="618916"/>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surname</a:t>
            </a:r>
          </a:p>
        </xdr:txBody>
      </xdr:sp>
      <xdr:sp macro="" textlink="">
        <xdr:nvSpPr>
          <xdr:cNvPr id="50" name="Oval 49">
            <a:extLst>
              <a:ext uri="{FF2B5EF4-FFF2-40B4-BE49-F238E27FC236}">
                <a16:creationId xmlns:a16="http://schemas.microsoft.com/office/drawing/2014/main" id="{BB143BC8-6CA1-43BD-852A-97D61316EAC3}"/>
              </a:ext>
            </a:extLst>
          </xdr:cNvPr>
          <xdr:cNvSpPr>
            <a:spLocks noChangeAspect="1"/>
          </xdr:cNvSpPr>
        </xdr:nvSpPr>
        <xdr:spPr>
          <a:xfrm>
            <a:off x="3904568" y="5854305"/>
            <a:ext cx="1094124" cy="596389"/>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registration</a:t>
            </a:r>
          </a:p>
        </xdr:txBody>
      </xdr:sp>
      <xdr:sp macro="" textlink="">
        <xdr:nvSpPr>
          <xdr:cNvPr id="51" name="Oval 50">
            <a:extLst>
              <a:ext uri="{FF2B5EF4-FFF2-40B4-BE49-F238E27FC236}">
                <a16:creationId xmlns:a16="http://schemas.microsoft.com/office/drawing/2014/main" id="{2C6D9FC2-C938-4AAA-ADA1-46AA130D7109}"/>
              </a:ext>
            </a:extLst>
          </xdr:cNvPr>
          <xdr:cNvSpPr>
            <a:spLocks noChangeAspect="1"/>
          </xdr:cNvSpPr>
        </xdr:nvSpPr>
        <xdr:spPr>
          <a:xfrm>
            <a:off x="3984056" y="8338804"/>
            <a:ext cx="1088405" cy="594481"/>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type</a:t>
            </a:r>
          </a:p>
        </xdr:txBody>
      </xdr:sp>
      <xdr:sp macro="" textlink="">
        <xdr:nvSpPr>
          <xdr:cNvPr id="52" name="Oval 51">
            <a:extLst>
              <a:ext uri="{FF2B5EF4-FFF2-40B4-BE49-F238E27FC236}">
                <a16:creationId xmlns:a16="http://schemas.microsoft.com/office/drawing/2014/main" id="{D6C7D4BA-0E8E-4BD0-AF51-2C30391B1A48}"/>
              </a:ext>
            </a:extLst>
          </xdr:cNvPr>
          <xdr:cNvSpPr>
            <a:spLocks noChangeAspect="1"/>
          </xdr:cNvSpPr>
        </xdr:nvSpPr>
        <xdr:spPr>
          <a:xfrm>
            <a:off x="13826807" y="7780784"/>
            <a:ext cx="1086503" cy="621152"/>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city</a:t>
            </a:r>
          </a:p>
        </xdr:txBody>
      </xdr:sp>
      <xdr:sp macro="" textlink="">
        <xdr:nvSpPr>
          <xdr:cNvPr id="53" name="Oval 52">
            <a:extLst>
              <a:ext uri="{FF2B5EF4-FFF2-40B4-BE49-F238E27FC236}">
                <a16:creationId xmlns:a16="http://schemas.microsoft.com/office/drawing/2014/main" id="{9933D9EA-A480-472C-BB2C-7808D6831D37}"/>
              </a:ext>
            </a:extLst>
          </xdr:cNvPr>
          <xdr:cNvSpPr>
            <a:spLocks noChangeAspect="1"/>
          </xdr:cNvSpPr>
        </xdr:nvSpPr>
        <xdr:spPr>
          <a:xfrm>
            <a:off x="12424733" y="7819620"/>
            <a:ext cx="1092221" cy="578868"/>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country</a:t>
            </a:r>
          </a:p>
        </xdr:txBody>
      </xdr:sp>
      <xdr:sp macro="" textlink="">
        <xdr:nvSpPr>
          <xdr:cNvPr id="58" name="Oval 57">
            <a:extLst>
              <a:ext uri="{FF2B5EF4-FFF2-40B4-BE49-F238E27FC236}">
                <a16:creationId xmlns:a16="http://schemas.microsoft.com/office/drawing/2014/main" id="{F4197AFA-A2B4-462A-9388-4042E4EE18B1}"/>
              </a:ext>
            </a:extLst>
          </xdr:cNvPr>
          <xdr:cNvSpPr>
            <a:spLocks noChangeAspect="1"/>
          </xdr:cNvSpPr>
        </xdr:nvSpPr>
        <xdr:spPr>
          <a:xfrm>
            <a:off x="15250673" y="6099140"/>
            <a:ext cx="1092222" cy="59258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pointB</a:t>
            </a:r>
          </a:p>
        </xdr:txBody>
      </xdr:sp>
      <xdr:sp macro="" textlink="">
        <xdr:nvSpPr>
          <xdr:cNvPr id="66" name="Oval 65">
            <a:extLst>
              <a:ext uri="{FF2B5EF4-FFF2-40B4-BE49-F238E27FC236}">
                <a16:creationId xmlns:a16="http://schemas.microsoft.com/office/drawing/2014/main" id="{99954036-0775-4EBA-9C12-0CA726B74AF9}"/>
              </a:ext>
            </a:extLst>
          </xdr:cNvPr>
          <xdr:cNvSpPr>
            <a:spLocks noChangeAspect="1"/>
          </xdr:cNvSpPr>
        </xdr:nvSpPr>
        <xdr:spPr>
          <a:xfrm>
            <a:off x="15929098" y="3799963"/>
            <a:ext cx="1094120" cy="664622"/>
          </a:xfrm>
          <a:prstGeom prst="ellipse">
            <a:avLst/>
          </a:prstGeom>
          <a:noFill/>
          <a:ln>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duration</a:t>
            </a:r>
          </a:p>
        </xdr:txBody>
      </xdr:sp>
      <xdr:sp macro="" textlink="">
        <xdr:nvSpPr>
          <xdr:cNvPr id="74" name="TextBox 73">
            <a:extLst>
              <a:ext uri="{FF2B5EF4-FFF2-40B4-BE49-F238E27FC236}">
                <a16:creationId xmlns:a16="http://schemas.microsoft.com/office/drawing/2014/main" id="{287E8E05-B2D9-BE67-3156-72B503E37555}"/>
              </a:ext>
            </a:extLst>
          </xdr:cNvPr>
          <xdr:cNvSpPr txBox="1"/>
        </xdr:nvSpPr>
        <xdr:spPr>
          <a:xfrm>
            <a:off x="4132344" y="2440594"/>
            <a:ext cx="451329" cy="410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2..3</a:t>
            </a:r>
          </a:p>
        </xdr:txBody>
      </xdr:sp>
      <xdr:sp macro="" textlink="">
        <xdr:nvSpPr>
          <xdr:cNvPr id="75" name="TextBox 74">
            <a:extLst>
              <a:ext uri="{FF2B5EF4-FFF2-40B4-BE49-F238E27FC236}">
                <a16:creationId xmlns:a16="http://schemas.microsoft.com/office/drawing/2014/main" id="{3D4E3A95-CA36-4B87-B03D-F0DEC97916C3}"/>
              </a:ext>
            </a:extLst>
          </xdr:cNvPr>
          <xdr:cNvSpPr txBox="1"/>
        </xdr:nvSpPr>
        <xdr:spPr>
          <a:xfrm>
            <a:off x="10847615" y="2580174"/>
            <a:ext cx="280125" cy="40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1</a:t>
            </a:r>
          </a:p>
        </xdr:txBody>
      </xdr:sp>
      <xdr:sp macro="" textlink="">
        <xdr:nvSpPr>
          <xdr:cNvPr id="76" name="TextBox 75">
            <a:extLst>
              <a:ext uri="{FF2B5EF4-FFF2-40B4-BE49-F238E27FC236}">
                <a16:creationId xmlns:a16="http://schemas.microsoft.com/office/drawing/2014/main" id="{6449850A-68D6-4A08-9BCA-1EAF792A99C1}"/>
              </a:ext>
            </a:extLst>
          </xdr:cNvPr>
          <xdr:cNvSpPr txBox="1"/>
        </xdr:nvSpPr>
        <xdr:spPr>
          <a:xfrm>
            <a:off x="10582721" y="3062609"/>
            <a:ext cx="535023" cy="3613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a:t>
            </a:r>
          </a:p>
        </xdr:txBody>
      </xdr:sp>
      <xdr:sp macro="" textlink="">
        <xdr:nvSpPr>
          <xdr:cNvPr id="77" name="TextBox 76">
            <a:extLst>
              <a:ext uri="{FF2B5EF4-FFF2-40B4-BE49-F238E27FC236}">
                <a16:creationId xmlns:a16="http://schemas.microsoft.com/office/drawing/2014/main" id="{523C8DAD-232B-4E02-847E-D2F5384E411D}"/>
              </a:ext>
            </a:extLst>
          </xdr:cNvPr>
          <xdr:cNvSpPr txBox="1"/>
        </xdr:nvSpPr>
        <xdr:spPr>
          <a:xfrm>
            <a:off x="6806343" y="5756454"/>
            <a:ext cx="309388" cy="37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a:t>1</a:t>
            </a:r>
          </a:p>
        </xdr:txBody>
      </xdr:sp>
      <xdr:sp macro="" textlink="">
        <xdr:nvSpPr>
          <xdr:cNvPr id="78" name="TextBox 77">
            <a:extLst>
              <a:ext uri="{FF2B5EF4-FFF2-40B4-BE49-F238E27FC236}">
                <a16:creationId xmlns:a16="http://schemas.microsoft.com/office/drawing/2014/main" id="{A0927BDA-B398-4157-B6FE-B3FA95BEBC4A}"/>
              </a:ext>
            </a:extLst>
          </xdr:cNvPr>
          <xdr:cNvSpPr txBox="1"/>
        </xdr:nvSpPr>
        <xdr:spPr>
          <a:xfrm>
            <a:off x="13673436" y="4557819"/>
            <a:ext cx="299863" cy="372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1</a:t>
            </a:r>
          </a:p>
        </xdr:txBody>
      </xdr:sp>
      <xdr:sp macro="" textlink="">
        <xdr:nvSpPr>
          <xdr:cNvPr id="79" name="TextBox 78">
            <a:extLst>
              <a:ext uri="{FF2B5EF4-FFF2-40B4-BE49-F238E27FC236}">
                <a16:creationId xmlns:a16="http://schemas.microsoft.com/office/drawing/2014/main" id="{79158C83-5FD7-476A-B9C9-14B78F0FA78D}"/>
              </a:ext>
            </a:extLst>
          </xdr:cNvPr>
          <xdr:cNvSpPr txBox="1"/>
        </xdr:nvSpPr>
        <xdr:spPr>
          <a:xfrm>
            <a:off x="11373336" y="3524600"/>
            <a:ext cx="523593" cy="357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a:t>
            </a:r>
          </a:p>
        </xdr:txBody>
      </xdr:sp>
      <xdr:sp macro="" textlink="">
        <xdr:nvSpPr>
          <xdr:cNvPr id="80" name="TextBox 79">
            <a:extLst>
              <a:ext uri="{FF2B5EF4-FFF2-40B4-BE49-F238E27FC236}">
                <a16:creationId xmlns:a16="http://schemas.microsoft.com/office/drawing/2014/main" id="{7AFEC7B0-2E8C-423C-BD83-1F93127E0106}"/>
              </a:ext>
            </a:extLst>
          </xdr:cNvPr>
          <xdr:cNvSpPr txBox="1"/>
        </xdr:nvSpPr>
        <xdr:spPr>
          <a:xfrm>
            <a:off x="15064791" y="8750238"/>
            <a:ext cx="263670" cy="395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2</a:t>
            </a:r>
          </a:p>
        </xdr:txBody>
      </xdr:sp>
      <xdr:sp macro="" textlink="">
        <xdr:nvSpPr>
          <xdr:cNvPr id="81" name="TextBox 80">
            <a:extLst>
              <a:ext uri="{FF2B5EF4-FFF2-40B4-BE49-F238E27FC236}">
                <a16:creationId xmlns:a16="http://schemas.microsoft.com/office/drawing/2014/main" id="{F5F663FD-AD3E-4940-A6FD-77780D814D77}"/>
              </a:ext>
            </a:extLst>
          </xdr:cNvPr>
          <xdr:cNvSpPr txBox="1"/>
        </xdr:nvSpPr>
        <xdr:spPr>
          <a:xfrm>
            <a:off x="14124533" y="5266518"/>
            <a:ext cx="527510" cy="371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a:t>
            </a:r>
          </a:p>
        </xdr:txBody>
      </xdr:sp>
      <xdr:sp macro="" textlink="">
        <xdr:nvSpPr>
          <xdr:cNvPr id="87" name="Oval 86">
            <a:extLst>
              <a:ext uri="{FF2B5EF4-FFF2-40B4-BE49-F238E27FC236}">
                <a16:creationId xmlns:a16="http://schemas.microsoft.com/office/drawing/2014/main" id="{6319A7EE-511B-4FB7-8300-FE80ABE49DB7}"/>
              </a:ext>
            </a:extLst>
          </xdr:cNvPr>
          <xdr:cNvSpPr>
            <a:spLocks noChangeAspect="1"/>
          </xdr:cNvSpPr>
        </xdr:nvSpPr>
        <xdr:spPr>
          <a:xfrm>
            <a:off x="7408808" y="8436255"/>
            <a:ext cx="1096031" cy="6398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manufacturer</a:t>
            </a:r>
          </a:p>
        </xdr:txBody>
      </xdr:sp>
      <xdr:sp macro="" textlink="">
        <xdr:nvSpPr>
          <xdr:cNvPr id="89" name="Oval 88">
            <a:extLst>
              <a:ext uri="{FF2B5EF4-FFF2-40B4-BE49-F238E27FC236}">
                <a16:creationId xmlns:a16="http://schemas.microsoft.com/office/drawing/2014/main" id="{2F2A424D-BC02-42B0-9ED9-F0E3852401F5}"/>
              </a:ext>
            </a:extLst>
          </xdr:cNvPr>
          <xdr:cNvSpPr>
            <a:spLocks noChangeAspect="1"/>
          </xdr:cNvSpPr>
        </xdr:nvSpPr>
        <xdr:spPr>
          <a:xfrm>
            <a:off x="5866429" y="9784855"/>
            <a:ext cx="1092221" cy="61316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long_haul</a:t>
            </a:r>
          </a:p>
        </xdr:txBody>
      </xdr:sp>
      <xdr:cxnSp macro="">
        <xdr:nvCxnSpPr>
          <xdr:cNvPr id="93" name="Straight Connector 92">
            <a:extLst>
              <a:ext uri="{FF2B5EF4-FFF2-40B4-BE49-F238E27FC236}">
                <a16:creationId xmlns:a16="http://schemas.microsoft.com/office/drawing/2014/main" id="{A5B72DA8-7981-489A-EF15-4FDC8D947CF5}"/>
              </a:ext>
            </a:extLst>
          </xdr:cNvPr>
          <xdr:cNvCxnSpPr>
            <a:stCxn id="66" idx="2"/>
          </xdr:cNvCxnSpPr>
        </xdr:nvCxnSpPr>
        <xdr:spPr>
          <a:xfrm flipH="1">
            <a:off x="15327223" y="4146571"/>
            <a:ext cx="601875" cy="488553"/>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97" name="Straight Connector 96">
            <a:extLst>
              <a:ext uri="{FF2B5EF4-FFF2-40B4-BE49-F238E27FC236}">
                <a16:creationId xmlns:a16="http://schemas.microsoft.com/office/drawing/2014/main" id="{AA2985C7-66F8-7943-10B5-7B723220C87B}"/>
              </a:ext>
            </a:extLst>
          </xdr:cNvPr>
          <xdr:cNvCxnSpPr>
            <a:stCxn id="58" idx="1"/>
          </xdr:cNvCxnSpPr>
        </xdr:nvCxnSpPr>
        <xdr:spPr>
          <a:xfrm flipH="1" flipV="1">
            <a:off x="14918972" y="5256883"/>
            <a:ext cx="489748" cy="915747"/>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99" name="Straight Connector 98">
            <a:extLst>
              <a:ext uri="{FF2B5EF4-FFF2-40B4-BE49-F238E27FC236}">
                <a16:creationId xmlns:a16="http://schemas.microsoft.com/office/drawing/2014/main" id="{A8ADDD43-D068-8353-8161-AD992546C6B5}"/>
              </a:ext>
            </a:extLst>
          </xdr:cNvPr>
          <xdr:cNvCxnSpPr>
            <a:stCxn id="44" idx="1"/>
          </xdr:cNvCxnSpPr>
        </xdr:nvCxnSpPr>
        <xdr:spPr>
          <a:xfrm flipH="1" flipV="1">
            <a:off x="15178652" y="5256883"/>
            <a:ext cx="712707" cy="253585"/>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06" name="Straight Connector 105">
            <a:extLst>
              <a:ext uri="{FF2B5EF4-FFF2-40B4-BE49-F238E27FC236}">
                <a16:creationId xmlns:a16="http://schemas.microsoft.com/office/drawing/2014/main" id="{5A21914D-8A92-8144-3A50-9AB911D841E4}"/>
              </a:ext>
            </a:extLst>
          </xdr:cNvPr>
          <xdr:cNvCxnSpPr>
            <a:stCxn id="52" idx="4"/>
            <a:endCxn id="6" idx="0"/>
          </xdr:cNvCxnSpPr>
        </xdr:nvCxnSpPr>
        <xdr:spPr>
          <a:xfrm>
            <a:off x="14360533" y="8398127"/>
            <a:ext cx="2089" cy="425411"/>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08" name="Straight Connector 107">
            <a:extLst>
              <a:ext uri="{FF2B5EF4-FFF2-40B4-BE49-F238E27FC236}">
                <a16:creationId xmlns:a16="http://schemas.microsoft.com/office/drawing/2014/main" id="{EA013ED2-3C18-3ABD-9648-4693F9D1615B}"/>
              </a:ext>
            </a:extLst>
          </xdr:cNvPr>
          <xdr:cNvCxnSpPr>
            <a:stCxn id="53" idx="5"/>
          </xdr:cNvCxnSpPr>
        </xdr:nvCxnSpPr>
        <xdr:spPr>
          <a:xfrm>
            <a:off x="13366527" y="8306322"/>
            <a:ext cx="601976" cy="520246"/>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27" name="Straight Connector 126">
            <a:extLst>
              <a:ext uri="{FF2B5EF4-FFF2-40B4-BE49-F238E27FC236}">
                <a16:creationId xmlns:a16="http://schemas.microsoft.com/office/drawing/2014/main" id="{EC2D51C3-7853-B855-AB72-476C3BFD354E}"/>
              </a:ext>
            </a:extLst>
          </xdr:cNvPr>
          <xdr:cNvCxnSpPr>
            <a:stCxn id="46" idx="5"/>
          </xdr:cNvCxnSpPr>
        </xdr:nvCxnSpPr>
        <xdr:spPr>
          <a:xfrm>
            <a:off x="2482766" y="1454921"/>
            <a:ext cx="678921" cy="1028943"/>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29" name="Straight Connector 128">
            <a:extLst>
              <a:ext uri="{FF2B5EF4-FFF2-40B4-BE49-F238E27FC236}">
                <a16:creationId xmlns:a16="http://schemas.microsoft.com/office/drawing/2014/main" id="{DF6F5DA7-737A-5DDF-5353-03E4A0FAC29E}"/>
              </a:ext>
            </a:extLst>
          </xdr:cNvPr>
          <xdr:cNvCxnSpPr>
            <a:stCxn id="39" idx="6"/>
            <a:endCxn id="3" idx="1"/>
          </xdr:cNvCxnSpPr>
        </xdr:nvCxnSpPr>
        <xdr:spPr>
          <a:xfrm flipV="1">
            <a:off x="2259385" y="2815970"/>
            <a:ext cx="475201" cy="0"/>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33" name="Straight Connector 132">
            <a:extLst>
              <a:ext uri="{FF2B5EF4-FFF2-40B4-BE49-F238E27FC236}">
                <a16:creationId xmlns:a16="http://schemas.microsoft.com/office/drawing/2014/main" id="{18505384-D25D-957B-2E81-A90BE9323301}"/>
              </a:ext>
            </a:extLst>
          </xdr:cNvPr>
          <xdr:cNvCxnSpPr>
            <a:stCxn id="48" idx="4"/>
            <a:endCxn id="3" idx="0"/>
          </xdr:cNvCxnSpPr>
        </xdr:nvCxnSpPr>
        <xdr:spPr>
          <a:xfrm>
            <a:off x="3302654" y="1526982"/>
            <a:ext cx="149651" cy="956885"/>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37" name="Straight Connector 136">
            <a:extLst>
              <a:ext uri="{FF2B5EF4-FFF2-40B4-BE49-F238E27FC236}">
                <a16:creationId xmlns:a16="http://schemas.microsoft.com/office/drawing/2014/main" id="{D4E88636-9D5D-0C66-11A8-90D5C29F3D70}"/>
              </a:ext>
            </a:extLst>
          </xdr:cNvPr>
          <xdr:cNvCxnSpPr>
            <a:stCxn id="40" idx="5"/>
          </xdr:cNvCxnSpPr>
        </xdr:nvCxnSpPr>
        <xdr:spPr>
          <a:xfrm>
            <a:off x="2133524" y="2151687"/>
            <a:ext cx="718647" cy="332081"/>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39" name="Straight Connector 138">
            <a:extLst>
              <a:ext uri="{FF2B5EF4-FFF2-40B4-BE49-F238E27FC236}">
                <a16:creationId xmlns:a16="http://schemas.microsoft.com/office/drawing/2014/main" id="{F8000FA8-EBA3-46D0-9E46-C64D9FB21DBD}"/>
              </a:ext>
            </a:extLst>
          </xdr:cNvPr>
          <xdr:cNvCxnSpPr>
            <a:stCxn id="51" idx="6"/>
            <a:endCxn id="17" idx="1"/>
          </xdr:cNvCxnSpPr>
        </xdr:nvCxnSpPr>
        <xdr:spPr>
          <a:xfrm>
            <a:off x="5072461" y="8613948"/>
            <a:ext cx="374211" cy="2377"/>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41" name="Straight Connector 140">
            <a:extLst>
              <a:ext uri="{FF2B5EF4-FFF2-40B4-BE49-F238E27FC236}">
                <a16:creationId xmlns:a16="http://schemas.microsoft.com/office/drawing/2014/main" id="{08213E20-5684-8F90-41F4-5F1001D2F9E3}"/>
              </a:ext>
            </a:extLst>
          </xdr:cNvPr>
          <xdr:cNvCxnSpPr>
            <a:stCxn id="89" idx="0"/>
            <a:endCxn id="17" idx="2"/>
          </xdr:cNvCxnSpPr>
        </xdr:nvCxnSpPr>
        <xdr:spPr>
          <a:xfrm flipH="1" flipV="1">
            <a:off x="6125341" y="8951651"/>
            <a:ext cx="310060" cy="823665"/>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43" name="Straight Connector 142">
            <a:extLst>
              <a:ext uri="{FF2B5EF4-FFF2-40B4-BE49-F238E27FC236}">
                <a16:creationId xmlns:a16="http://schemas.microsoft.com/office/drawing/2014/main" id="{FC2E0C22-F73A-4509-6B3B-60553CCCD315}"/>
              </a:ext>
            </a:extLst>
          </xdr:cNvPr>
          <xdr:cNvCxnSpPr>
            <a:stCxn id="87" idx="2"/>
            <a:endCxn id="17" idx="3"/>
          </xdr:cNvCxnSpPr>
        </xdr:nvCxnSpPr>
        <xdr:spPr>
          <a:xfrm flipH="1" flipV="1">
            <a:off x="6804007" y="8616325"/>
            <a:ext cx="608609" cy="135088"/>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45" name="Straight Connector 144">
            <a:extLst>
              <a:ext uri="{FF2B5EF4-FFF2-40B4-BE49-F238E27FC236}">
                <a16:creationId xmlns:a16="http://schemas.microsoft.com/office/drawing/2014/main" id="{F2F898D7-B0BA-AA14-D193-0490F5DCD131}"/>
              </a:ext>
            </a:extLst>
          </xdr:cNvPr>
          <xdr:cNvCxnSpPr>
            <a:stCxn id="50" idx="6"/>
            <a:endCxn id="8" idx="1"/>
          </xdr:cNvCxnSpPr>
        </xdr:nvCxnSpPr>
        <xdr:spPr>
          <a:xfrm flipV="1">
            <a:off x="5000599" y="6141028"/>
            <a:ext cx="449884" cy="3077"/>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sp macro="" textlink="">
        <xdr:nvSpPr>
          <xdr:cNvPr id="146" name="Oval 145">
            <a:extLst>
              <a:ext uri="{FF2B5EF4-FFF2-40B4-BE49-F238E27FC236}">
                <a16:creationId xmlns:a16="http://schemas.microsoft.com/office/drawing/2014/main" id="{28CBB3A9-FCB1-4E72-A0C3-1AB667D8F267}"/>
              </a:ext>
            </a:extLst>
          </xdr:cNvPr>
          <xdr:cNvSpPr>
            <a:spLocks noChangeAspect="1"/>
          </xdr:cNvSpPr>
        </xdr:nvSpPr>
        <xdr:spPr>
          <a:xfrm>
            <a:off x="7148940" y="4809083"/>
            <a:ext cx="1131777" cy="611259"/>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status</a:t>
            </a:r>
          </a:p>
        </xdr:txBody>
      </xdr:sp>
      <xdr:cxnSp macro="">
        <xdr:nvCxnSpPr>
          <xdr:cNvPr id="150" name="Straight Connector 149">
            <a:extLst>
              <a:ext uri="{FF2B5EF4-FFF2-40B4-BE49-F238E27FC236}">
                <a16:creationId xmlns:a16="http://schemas.microsoft.com/office/drawing/2014/main" id="{CE6BDAFC-CD69-46CD-A7B8-E5A5CA528710}"/>
              </a:ext>
            </a:extLst>
          </xdr:cNvPr>
          <xdr:cNvCxnSpPr>
            <a:stCxn id="146" idx="3"/>
          </xdr:cNvCxnSpPr>
        </xdr:nvCxnSpPr>
        <xdr:spPr>
          <a:xfrm flipH="1">
            <a:off x="6714005" y="5334132"/>
            <a:ext cx="622096" cy="485492"/>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sp macro="" textlink="">
        <xdr:nvSpPr>
          <xdr:cNvPr id="179" name="Oval 178">
            <a:extLst>
              <a:ext uri="{FF2B5EF4-FFF2-40B4-BE49-F238E27FC236}">
                <a16:creationId xmlns:a16="http://schemas.microsoft.com/office/drawing/2014/main" id="{4C59D1F9-EDC6-4720-9507-2F4B02C35CA4}"/>
              </a:ext>
            </a:extLst>
          </xdr:cNvPr>
          <xdr:cNvSpPr>
            <a:spLocks noChangeAspect="1"/>
          </xdr:cNvSpPr>
        </xdr:nvSpPr>
        <xdr:spPr>
          <a:xfrm>
            <a:off x="4587465" y="9757627"/>
            <a:ext cx="1071258" cy="60020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capacity</a:t>
            </a:r>
          </a:p>
        </xdr:txBody>
      </xdr:sp>
      <xdr:cxnSp macro="">
        <xdr:nvCxnSpPr>
          <xdr:cNvPr id="180" name="Straight Connector 179">
            <a:extLst>
              <a:ext uri="{FF2B5EF4-FFF2-40B4-BE49-F238E27FC236}">
                <a16:creationId xmlns:a16="http://schemas.microsoft.com/office/drawing/2014/main" id="{FAA19D50-D18F-4742-9CE5-6E297D1C8F8D}"/>
              </a:ext>
            </a:extLst>
          </xdr:cNvPr>
          <xdr:cNvCxnSpPr>
            <a:stCxn id="179" idx="0"/>
          </xdr:cNvCxnSpPr>
        </xdr:nvCxnSpPr>
        <xdr:spPr>
          <a:xfrm flipV="1">
            <a:off x="5114521" y="8933030"/>
            <a:ext cx="561629" cy="824597"/>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86" name="Straight Connector 185">
            <a:extLst>
              <a:ext uri="{FF2B5EF4-FFF2-40B4-BE49-F238E27FC236}">
                <a16:creationId xmlns:a16="http://schemas.microsoft.com/office/drawing/2014/main" id="{B4DE8CA2-F228-413C-A2FA-3703C0B105DE}"/>
              </a:ext>
            </a:extLst>
          </xdr:cNvPr>
          <xdr:cNvCxnSpPr>
            <a:cxnSpLocks/>
            <a:stCxn id="9" idx="3"/>
            <a:endCxn id="197" idx="2"/>
          </xdr:cNvCxnSpPr>
        </xdr:nvCxnSpPr>
        <xdr:spPr>
          <a:xfrm flipV="1">
            <a:off x="12462592" y="3193181"/>
            <a:ext cx="793507" cy="5539"/>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sp macro="" textlink="">
        <xdr:nvSpPr>
          <xdr:cNvPr id="7" name="Oval 6">
            <a:extLst>
              <a:ext uri="{FF2B5EF4-FFF2-40B4-BE49-F238E27FC236}">
                <a16:creationId xmlns:a16="http://schemas.microsoft.com/office/drawing/2014/main" id="{086C9890-040C-429D-B50A-51FBBA31DF0B}"/>
              </a:ext>
            </a:extLst>
          </xdr:cNvPr>
          <xdr:cNvSpPr>
            <a:spLocks noChangeAspect="1"/>
          </xdr:cNvSpPr>
        </xdr:nvSpPr>
        <xdr:spPr>
          <a:xfrm>
            <a:off x="15332257" y="3105155"/>
            <a:ext cx="1086045" cy="657367"/>
          </a:xfrm>
          <a:prstGeom prst="ellipse">
            <a:avLst/>
          </a:prstGeom>
          <a:noFill/>
          <a:ln>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active</a:t>
            </a:r>
          </a:p>
        </xdr:txBody>
      </xdr:sp>
      <xdr:cxnSp macro="">
        <xdr:nvCxnSpPr>
          <xdr:cNvPr id="13" name="Straight Connector 12">
            <a:extLst>
              <a:ext uri="{FF2B5EF4-FFF2-40B4-BE49-F238E27FC236}">
                <a16:creationId xmlns:a16="http://schemas.microsoft.com/office/drawing/2014/main" id="{61EFC057-0408-402C-B4CD-BA30CCA51F83}"/>
              </a:ext>
            </a:extLst>
          </xdr:cNvPr>
          <xdr:cNvCxnSpPr>
            <a:endCxn id="7" idx="3"/>
          </xdr:cNvCxnSpPr>
        </xdr:nvCxnSpPr>
        <xdr:spPr>
          <a:xfrm flipV="1">
            <a:off x="15097383" y="3657320"/>
            <a:ext cx="395500" cy="979076"/>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17" name="Rectangle 16">
            <a:extLst>
              <a:ext uri="{FF2B5EF4-FFF2-40B4-BE49-F238E27FC236}">
                <a16:creationId xmlns:a16="http://schemas.microsoft.com/office/drawing/2014/main" id="{67AF11D6-8D0D-47E1-B251-403EC31E8075}"/>
              </a:ext>
            </a:extLst>
          </xdr:cNvPr>
          <xdr:cNvSpPr/>
        </xdr:nvSpPr>
        <xdr:spPr>
          <a:xfrm>
            <a:off x="5450482" y="8338540"/>
            <a:ext cx="1357334" cy="62073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ysClr val="windowText" lastClr="000000"/>
                </a:solidFill>
              </a:rPr>
              <a:t>aircraft</a:t>
            </a:r>
          </a:p>
        </xdr:txBody>
      </xdr:sp>
      <xdr:sp macro="" textlink="">
        <xdr:nvSpPr>
          <xdr:cNvPr id="28" name="Oval 27">
            <a:extLst>
              <a:ext uri="{FF2B5EF4-FFF2-40B4-BE49-F238E27FC236}">
                <a16:creationId xmlns:a16="http://schemas.microsoft.com/office/drawing/2014/main" id="{60BF6782-7514-408C-ACDB-52DDC5789F4D}"/>
              </a:ext>
            </a:extLst>
          </xdr:cNvPr>
          <xdr:cNvSpPr>
            <a:spLocks noChangeAspect="1"/>
          </xdr:cNvSpPr>
        </xdr:nvSpPr>
        <xdr:spPr>
          <a:xfrm>
            <a:off x="7034601" y="9457020"/>
            <a:ext cx="1090316" cy="62842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model</a:t>
            </a:r>
          </a:p>
        </xdr:txBody>
      </xdr:sp>
      <xdr:cxnSp macro="">
        <xdr:nvCxnSpPr>
          <xdr:cNvPr id="30" name="Straight Connector 29">
            <a:extLst>
              <a:ext uri="{FF2B5EF4-FFF2-40B4-BE49-F238E27FC236}">
                <a16:creationId xmlns:a16="http://schemas.microsoft.com/office/drawing/2014/main" id="{59AA5BB5-8B08-4283-B1E8-4E608F3C3446}"/>
              </a:ext>
            </a:extLst>
          </xdr:cNvPr>
          <xdr:cNvCxnSpPr>
            <a:stCxn id="28" idx="1"/>
          </xdr:cNvCxnSpPr>
        </xdr:nvCxnSpPr>
        <xdr:spPr>
          <a:xfrm flipH="1" flipV="1">
            <a:off x="6505232" y="8934935"/>
            <a:ext cx="686434" cy="626981"/>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57" name="Connector: Elbow 56">
            <a:extLst>
              <a:ext uri="{FF2B5EF4-FFF2-40B4-BE49-F238E27FC236}">
                <a16:creationId xmlns:a16="http://schemas.microsoft.com/office/drawing/2014/main" id="{9FC66B78-86F5-44E6-AA5B-FFC7F9A8DB20}"/>
              </a:ext>
            </a:extLst>
          </xdr:cNvPr>
          <xdr:cNvCxnSpPr>
            <a:stCxn id="8" idx="2"/>
            <a:endCxn id="17" idx="0"/>
          </xdr:cNvCxnSpPr>
        </xdr:nvCxnSpPr>
        <xdr:spPr>
          <a:xfrm rot="5400000">
            <a:off x="5184534" y="7396780"/>
            <a:ext cx="1882566" cy="954"/>
          </a:xfrm>
          <a:prstGeom prst="bentConnector3">
            <a:avLst>
              <a:gd name="adj1" fmla="val 50000"/>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62" name="TextBox 61">
            <a:extLst>
              <a:ext uri="{FF2B5EF4-FFF2-40B4-BE49-F238E27FC236}">
                <a16:creationId xmlns:a16="http://schemas.microsoft.com/office/drawing/2014/main" id="{604A6F09-CC02-4EDF-ADAB-8B3F20BB10B0}"/>
              </a:ext>
            </a:extLst>
          </xdr:cNvPr>
          <xdr:cNvSpPr txBox="1"/>
        </xdr:nvSpPr>
        <xdr:spPr>
          <a:xfrm>
            <a:off x="5791699" y="7955902"/>
            <a:ext cx="337781" cy="3501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a:t>1</a:t>
            </a:r>
          </a:p>
        </xdr:txBody>
      </xdr:sp>
      <xdr:sp macro="" textlink="">
        <xdr:nvSpPr>
          <xdr:cNvPr id="63" name="TextBox 62">
            <a:extLst>
              <a:ext uri="{FF2B5EF4-FFF2-40B4-BE49-F238E27FC236}">
                <a16:creationId xmlns:a16="http://schemas.microsoft.com/office/drawing/2014/main" id="{CBF1F0AB-684C-4A43-901F-7AA43EC1C5A5}"/>
              </a:ext>
            </a:extLst>
          </xdr:cNvPr>
          <xdr:cNvSpPr txBox="1"/>
        </xdr:nvSpPr>
        <xdr:spPr>
          <a:xfrm>
            <a:off x="5602223" y="6456223"/>
            <a:ext cx="521794" cy="350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a:t>
            </a:r>
          </a:p>
        </xdr:txBody>
      </xdr:sp>
      <xdr:sp macro="" textlink="">
        <xdr:nvSpPr>
          <xdr:cNvPr id="85" name="Diamond 84">
            <a:extLst>
              <a:ext uri="{FF2B5EF4-FFF2-40B4-BE49-F238E27FC236}">
                <a16:creationId xmlns:a16="http://schemas.microsoft.com/office/drawing/2014/main" id="{DD36E7B4-E487-4AA2-8468-32CBAC5E0C04}"/>
              </a:ext>
            </a:extLst>
          </xdr:cNvPr>
          <xdr:cNvSpPr>
            <a:spLocks noChangeAspect="1"/>
          </xdr:cNvSpPr>
        </xdr:nvSpPr>
        <xdr:spPr>
          <a:xfrm>
            <a:off x="8393242" y="7116367"/>
            <a:ext cx="1205547" cy="1184062"/>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r>
              <a:rPr lang="en-GB" sz="1800">
                <a:solidFill>
                  <a:sysClr val="windowText" lastClr="000000"/>
                </a:solidFill>
                <a:latin typeface="+mn-lt"/>
                <a:ea typeface="+mn-ea"/>
                <a:cs typeface="+mn-cs"/>
              </a:rPr>
              <a:t>located</a:t>
            </a:r>
          </a:p>
        </xdr:txBody>
      </xdr:sp>
      <xdr:sp macro="" textlink="">
        <xdr:nvSpPr>
          <xdr:cNvPr id="88" name="Oval 87">
            <a:extLst>
              <a:ext uri="{FF2B5EF4-FFF2-40B4-BE49-F238E27FC236}">
                <a16:creationId xmlns:a16="http://schemas.microsoft.com/office/drawing/2014/main" id="{113A54F5-D2C9-44C9-B462-76AE14B34FA9}"/>
              </a:ext>
            </a:extLst>
          </xdr:cNvPr>
          <xdr:cNvSpPr>
            <a:spLocks noChangeAspect="1"/>
          </xdr:cNvSpPr>
        </xdr:nvSpPr>
        <xdr:spPr>
          <a:xfrm>
            <a:off x="6162388" y="4382857"/>
            <a:ext cx="1094127" cy="605561"/>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introduced</a:t>
            </a:r>
          </a:p>
        </xdr:txBody>
      </xdr:sp>
      <xdr:sp macro="" textlink="">
        <xdr:nvSpPr>
          <xdr:cNvPr id="91" name="Oval 90">
            <a:extLst>
              <a:ext uri="{FF2B5EF4-FFF2-40B4-BE49-F238E27FC236}">
                <a16:creationId xmlns:a16="http://schemas.microsoft.com/office/drawing/2014/main" id="{5BE043D7-3579-414E-9AB5-D6577457758C}"/>
              </a:ext>
            </a:extLst>
          </xdr:cNvPr>
          <xdr:cNvSpPr>
            <a:spLocks noChangeAspect="1"/>
          </xdr:cNvSpPr>
        </xdr:nvSpPr>
        <xdr:spPr>
          <a:xfrm>
            <a:off x="4957586" y="4406996"/>
            <a:ext cx="1092226" cy="57506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hours</a:t>
            </a:r>
          </a:p>
        </xdr:txBody>
      </xdr:sp>
      <xdr:sp macro="" textlink="">
        <xdr:nvSpPr>
          <xdr:cNvPr id="92" name="Oval 91">
            <a:extLst>
              <a:ext uri="{FF2B5EF4-FFF2-40B4-BE49-F238E27FC236}">
                <a16:creationId xmlns:a16="http://schemas.microsoft.com/office/drawing/2014/main" id="{BE79E616-8D54-4DC0-82DA-C3F1D44F9757}"/>
              </a:ext>
            </a:extLst>
          </xdr:cNvPr>
          <xdr:cNvSpPr>
            <a:spLocks noChangeAspect="1"/>
          </xdr:cNvSpPr>
        </xdr:nvSpPr>
        <xdr:spPr>
          <a:xfrm>
            <a:off x="4169888" y="5057195"/>
            <a:ext cx="1133685" cy="584954"/>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serial</a:t>
            </a:r>
          </a:p>
        </xdr:txBody>
      </xdr:sp>
      <xdr:cxnSp macro="">
        <xdr:nvCxnSpPr>
          <xdr:cNvPr id="94" name="Straight Connector 93">
            <a:extLst>
              <a:ext uri="{FF2B5EF4-FFF2-40B4-BE49-F238E27FC236}">
                <a16:creationId xmlns:a16="http://schemas.microsoft.com/office/drawing/2014/main" id="{78D49F29-AB8E-4218-AF77-4DDC004EFF03}"/>
              </a:ext>
            </a:extLst>
          </xdr:cNvPr>
          <xdr:cNvCxnSpPr>
            <a:stCxn id="88" idx="4"/>
          </xdr:cNvCxnSpPr>
        </xdr:nvCxnSpPr>
        <xdr:spPr>
          <a:xfrm flipH="1">
            <a:off x="6392141" y="4978883"/>
            <a:ext cx="300168" cy="841767"/>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98" name="Straight Connector 97">
            <a:extLst>
              <a:ext uri="{FF2B5EF4-FFF2-40B4-BE49-F238E27FC236}">
                <a16:creationId xmlns:a16="http://schemas.microsoft.com/office/drawing/2014/main" id="{26BA7D67-1687-45E0-B895-85D7E1D571F7}"/>
              </a:ext>
            </a:extLst>
          </xdr:cNvPr>
          <xdr:cNvCxnSpPr>
            <a:stCxn id="91" idx="4"/>
            <a:endCxn id="8" idx="0"/>
          </xdr:cNvCxnSpPr>
        </xdr:nvCxnSpPr>
        <xdr:spPr>
          <a:xfrm>
            <a:off x="5486550" y="4985866"/>
            <a:ext cx="639745" cy="830679"/>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03" name="Straight Connector 102">
            <a:extLst>
              <a:ext uri="{FF2B5EF4-FFF2-40B4-BE49-F238E27FC236}">
                <a16:creationId xmlns:a16="http://schemas.microsoft.com/office/drawing/2014/main" id="{9C5E6D0E-56C6-49B8-BD84-BA9409D94137}"/>
              </a:ext>
            </a:extLst>
          </xdr:cNvPr>
          <xdr:cNvCxnSpPr>
            <a:stCxn id="92" idx="5"/>
          </xdr:cNvCxnSpPr>
        </xdr:nvCxnSpPr>
        <xdr:spPr>
          <a:xfrm>
            <a:off x="5149325" y="5559815"/>
            <a:ext cx="526825" cy="260282"/>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30" name="Straight Connector 129">
            <a:extLst>
              <a:ext uri="{FF2B5EF4-FFF2-40B4-BE49-F238E27FC236}">
                <a16:creationId xmlns:a16="http://schemas.microsoft.com/office/drawing/2014/main" id="{B5D40BAB-E17D-4760-8CAE-8DC95139B97B}"/>
              </a:ext>
            </a:extLst>
          </xdr:cNvPr>
          <xdr:cNvCxnSpPr>
            <a:stCxn id="41" idx="6"/>
            <a:endCxn id="6" idx="1"/>
          </xdr:cNvCxnSpPr>
        </xdr:nvCxnSpPr>
        <xdr:spPr>
          <a:xfrm flipV="1">
            <a:off x="13290503" y="9136447"/>
            <a:ext cx="418615" cy="9218"/>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51" name="Connector: Elbow 150">
            <a:extLst>
              <a:ext uri="{FF2B5EF4-FFF2-40B4-BE49-F238E27FC236}">
                <a16:creationId xmlns:a16="http://schemas.microsoft.com/office/drawing/2014/main" id="{60A74C41-B45C-D645-16F0-1D68A5AD27DA}"/>
              </a:ext>
            </a:extLst>
          </xdr:cNvPr>
          <xdr:cNvCxnSpPr>
            <a:stCxn id="85" idx="2"/>
            <a:endCxn id="6" idx="2"/>
          </xdr:cNvCxnSpPr>
        </xdr:nvCxnSpPr>
        <xdr:spPr>
          <a:xfrm rot="16200000" flipH="1">
            <a:off x="11108679" y="6195391"/>
            <a:ext cx="1145090" cy="5362797"/>
          </a:xfrm>
          <a:prstGeom prst="bentConnector3">
            <a:avLst>
              <a:gd name="adj1" fmla="val 138379"/>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152" name="TextBox 151">
            <a:extLst>
              <a:ext uri="{FF2B5EF4-FFF2-40B4-BE49-F238E27FC236}">
                <a16:creationId xmlns:a16="http://schemas.microsoft.com/office/drawing/2014/main" id="{BA04DD12-FD72-4A8B-A996-48B60099ABC5}"/>
              </a:ext>
            </a:extLst>
          </xdr:cNvPr>
          <xdr:cNvSpPr txBox="1"/>
        </xdr:nvSpPr>
        <xdr:spPr>
          <a:xfrm>
            <a:off x="14049472" y="9442401"/>
            <a:ext cx="299863" cy="3913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a:t>1</a:t>
            </a:r>
          </a:p>
        </xdr:txBody>
      </xdr:sp>
      <xdr:sp macro="" textlink="">
        <xdr:nvSpPr>
          <xdr:cNvPr id="153" name="TextBox 152">
            <a:extLst>
              <a:ext uri="{FF2B5EF4-FFF2-40B4-BE49-F238E27FC236}">
                <a16:creationId xmlns:a16="http://schemas.microsoft.com/office/drawing/2014/main" id="{062633EB-934D-49AB-935F-8A9BA847A68C}"/>
              </a:ext>
            </a:extLst>
          </xdr:cNvPr>
          <xdr:cNvSpPr txBox="1"/>
        </xdr:nvSpPr>
        <xdr:spPr>
          <a:xfrm>
            <a:off x="6586212" y="6458705"/>
            <a:ext cx="525604" cy="357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a:t>
            </a:r>
          </a:p>
        </xdr:txBody>
      </xdr:sp>
      <xdr:sp macro="" textlink="">
        <xdr:nvSpPr>
          <xdr:cNvPr id="166" name="Oval 165">
            <a:extLst>
              <a:ext uri="{FF2B5EF4-FFF2-40B4-BE49-F238E27FC236}">
                <a16:creationId xmlns:a16="http://schemas.microsoft.com/office/drawing/2014/main" id="{BC744F3A-36D8-471F-88C1-305EE473A734}"/>
              </a:ext>
            </a:extLst>
          </xdr:cNvPr>
          <xdr:cNvSpPr>
            <a:spLocks noChangeAspect="1"/>
          </xdr:cNvSpPr>
        </xdr:nvSpPr>
        <xdr:spPr>
          <a:xfrm>
            <a:off x="4057367" y="911877"/>
            <a:ext cx="1092218" cy="645602"/>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captain</a:t>
            </a:r>
          </a:p>
        </xdr:txBody>
      </xdr:sp>
      <xdr:sp macro="" textlink="">
        <xdr:nvSpPr>
          <xdr:cNvPr id="167" name="Oval 166">
            <a:extLst>
              <a:ext uri="{FF2B5EF4-FFF2-40B4-BE49-F238E27FC236}">
                <a16:creationId xmlns:a16="http://schemas.microsoft.com/office/drawing/2014/main" id="{80B44A30-B5DE-4DDF-B107-C7C827497E60}"/>
              </a:ext>
            </a:extLst>
          </xdr:cNvPr>
          <xdr:cNvSpPr>
            <a:spLocks noChangeAspect="1"/>
          </xdr:cNvSpPr>
        </xdr:nvSpPr>
        <xdr:spPr>
          <a:xfrm>
            <a:off x="4356445" y="1669131"/>
            <a:ext cx="1042688" cy="621166"/>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active</a:t>
            </a:r>
          </a:p>
        </xdr:txBody>
      </xdr:sp>
      <xdr:cxnSp macro="">
        <xdr:nvCxnSpPr>
          <xdr:cNvPr id="168" name="Straight Connector 167">
            <a:extLst>
              <a:ext uri="{FF2B5EF4-FFF2-40B4-BE49-F238E27FC236}">
                <a16:creationId xmlns:a16="http://schemas.microsoft.com/office/drawing/2014/main" id="{B33E404D-18FA-4E1D-9F62-5F83E4E5646E}"/>
              </a:ext>
            </a:extLst>
          </xdr:cNvPr>
          <xdr:cNvCxnSpPr>
            <a:stCxn id="166" idx="3"/>
          </xdr:cNvCxnSpPr>
        </xdr:nvCxnSpPr>
        <xdr:spPr>
          <a:xfrm flipH="1">
            <a:off x="3634981" y="1436077"/>
            <a:ext cx="604277" cy="1047691"/>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71" name="Straight Connector 170">
            <a:extLst>
              <a:ext uri="{FF2B5EF4-FFF2-40B4-BE49-F238E27FC236}">
                <a16:creationId xmlns:a16="http://schemas.microsoft.com/office/drawing/2014/main" id="{BE917193-E503-4492-9D4B-E526089F4BA7}"/>
              </a:ext>
            </a:extLst>
          </xdr:cNvPr>
          <xdr:cNvCxnSpPr>
            <a:stCxn id="167" idx="2"/>
          </xdr:cNvCxnSpPr>
        </xdr:nvCxnSpPr>
        <xdr:spPr>
          <a:xfrm flipH="1">
            <a:off x="3980815" y="1980667"/>
            <a:ext cx="371820" cy="511167"/>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sp macro="" textlink="">
        <xdr:nvSpPr>
          <xdr:cNvPr id="176" name="Diamond 175">
            <a:extLst>
              <a:ext uri="{FF2B5EF4-FFF2-40B4-BE49-F238E27FC236}">
                <a16:creationId xmlns:a16="http://schemas.microsoft.com/office/drawing/2014/main" id="{3A188DFF-27E3-4243-83D9-C9EB46CE5519}"/>
              </a:ext>
            </a:extLst>
          </xdr:cNvPr>
          <xdr:cNvSpPr>
            <a:spLocks noChangeAspect="1"/>
          </xdr:cNvSpPr>
        </xdr:nvSpPr>
        <xdr:spPr>
          <a:xfrm>
            <a:off x="2114550" y="6682531"/>
            <a:ext cx="1868470" cy="1318469"/>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overflow" horzOverflow="overflow" vert="horz" wrap="none" lIns="36000" tIns="36000" rIns="36000" bIns="36000" numCol="1" spcCol="0" rtlCol="0" fromWordArt="0" anchor="ctr" anchorCtr="0" forceAA="0" compatLnSpc="1">
            <a:prstTxWarp prst="textNoShape">
              <a:avLst/>
            </a:prstTxWarp>
            <a:noAutofit/>
          </a:bodyPr>
          <a:lstStyle/>
          <a:p>
            <a:pPr marL="0" indent="0" algn="ctr"/>
            <a:r>
              <a:rPr lang="en-GB" sz="1800">
                <a:solidFill>
                  <a:sysClr val="windowText" lastClr="000000"/>
                </a:solidFill>
                <a:latin typeface="+mn-lt"/>
                <a:ea typeface="+mn-ea"/>
                <a:cs typeface="+mn-cs"/>
              </a:rPr>
              <a:t>certifications</a:t>
            </a:r>
          </a:p>
        </xdr:txBody>
      </xdr:sp>
      <xdr:cxnSp macro="">
        <xdr:nvCxnSpPr>
          <xdr:cNvPr id="181" name="Connector: Elbow 180">
            <a:extLst>
              <a:ext uri="{FF2B5EF4-FFF2-40B4-BE49-F238E27FC236}">
                <a16:creationId xmlns:a16="http://schemas.microsoft.com/office/drawing/2014/main" id="{FAC9DF50-ED80-CC86-CDB9-71230435F494}"/>
              </a:ext>
            </a:extLst>
          </xdr:cNvPr>
          <xdr:cNvCxnSpPr>
            <a:stCxn id="176" idx="0"/>
            <a:endCxn id="3" idx="2"/>
          </xdr:cNvCxnSpPr>
        </xdr:nvCxnSpPr>
        <xdr:spPr>
          <a:xfrm rot="5400000" flipH="1" flipV="1">
            <a:off x="1471889" y="4716402"/>
            <a:ext cx="3532548" cy="399710"/>
          </a:xfrm>
          <a:prstGeom prst="bentConnector3">
            <a:avLst>
              <a:gd name="adj1" fmla="val 50000"/>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89" name="Connector: Elbow 188">
            <a:extLst>
              <a:ext uri="{FF2B5EF4-FFF2-40B4-BE49-F238E27FC236}">
                <a16:creationId xmlns:a16="http://schemas.microsoft.com/office/drawing/2014/main" id="{3E4F505E-EC3C-E126-C195-DD341FA4356D}"/>
              </a:ext>
            </a:extLst>
          </xdr:cNvPr>
          <xdr:cNvCxnSpPr>
            <a:stCxn id="176" idx="3"/>
          </xdr:cNvCxnSpPr>
        </xdr:nvCxnSpPr>
        <xdr:spPr>
          <a:xfrm>
            <a:off x="3983020" y="7346528"/>
            <a:ext cx="1693880" cy="991657"/>
          </a:xfrm>
          <a:prstGeom prst="bentConnector3">
            <a:avLst>
              <a:gd name="adj1" fmla="val 99449"/>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195" name="TextBox 194">
            <a:extLst>
              <a:ext uri="{FF2B5EF4-FFF2-40B4-BE49-F238E27FC236}">
                <a16:creationId xmlns:a16="http://schemas.microsoft.com/office/drawing/2014/main" id="{AD026C79-96BD-421C-B94D-DF4C61159B5E}"/>
              </a:ext>
            </a:extLst>
          </xdr:cNvPr>
          <xdr:cNvSpPr txBox="1"/>
        </xdr:nvSpPr>
        <xdr:spPr>
          <a:xfrm>
            <a:off x="2888737" y="3149067"/>
            <a:ext cx="565663" cy="383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0..1</a:t>
            </a:r>
          </a:p>
        </xdr:txBody>
      </xdr:sp>
      <xdr:sp macro="" textlink="">
        <xdr:nvSpPr>
          <xdr:cNvPr id="196" name="TextBox 195">
            <a:extLst>
              <a:ext uri="{FF2B5EF4-FFF2-40B4-BE49-F238E27FC236}">
                <a16:creationId xmlns:a16="http://schemas.microsoft.com/office/drawing/2014/main" id="{F9276A97-62AA-4F30-87E3-19C693044173}"/>
              </a:ext>
            </a:extLst>
          </xdr:cNvPr>
          <xdr:cNvSpPr txBox="1"/>
        </xdr:nvSpPr>
        <xdr:spPr>
          <a:xfrm>
            <a:off x="5261236" y="7950796"/>
            <a:ext cx="379469" cy="388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1</a:t>
            </a:r>
          </a:p>
        </xdr:txBody>
      </xdr:sp>
      <xdr:sp macro="" textlink="">
        <xdr:nvSpPr>
          <xdr:cNvPr id="197" name="Oval 196">
            <a:extLst>
              <a:ext uri="{FF2B5EF4-FFF2-40B4-BE49-F238E27FC236}">
                <a16:creationId xmlns:a16="http://schemas.microsoft.com/office/drawing/2014/main" id="{BE0509B3-99EE-43FD-994F-B261334A939D}"/>
              </a:ext>
            </a:extLst>
          </xdr:cNvPr>
          <xdr:cNvSpPr>
            <a:spLocks noChangeAspect="1"/>
          </xdr:cNvSpPr>
        </xdr:nvSpPr>
        <xdr:spPr>
          <a:xfrm>
            <a:off x="13259907" y="2885645"/>
            <a:ext cx="1088410" cy="59411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flight_number</a:t>
            </a:r>
          </a:p>
        </xdr:txBody>
      </xdr:sp>
      <xdr:sp macro="" textlink="">
        <xdr:nvSpPr>
          <xdr:cNvPr id="200" name="Oval 199">
            <a:extLst>
              <a:ext uri="{FF2B5EF4-FFF2-40B4-BE49-F238E27FC236}">
                <a16:creationId xmlns:a16="http://schemas.microsoft.com/office/drawing/2014/main" id="{6B612518-803F-4370-8329-BFD34DEAA7F0}"/>
              </a:ext>
            </a:extLst>
          </xdr:cNvPr>
          <xdr:cNvSpPr>
            <a:spLocks noChangeAspect="1"/>
          </xdr:cNvSpPr>
        </xdr:nvSpPr>
        <xdr:spPr>
          <a:xfrm>
            <a:off x="12652683" y="3623685"/>
            <a:ext cx="1092221" cy="594119"/>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designation</a:t>
            </a:r>
          </a:p>
        </xdr:txBody>
      </xdr:sp>
      <xdr:sp macro="" textlink="">
        <xdr:nvSpPr>
          <xdr:cNvPr id="206" name="Oval 205">
            <a:extLst>
              <a:ext uri="{FF2B5EF4-FFF2-40B4-BE49-F238E27FC236}">
                <a16:creationId xmlns:a16="http://schemas.microsoft.com/office/drawing/2014/main" id="{2D82A86F-3C14-4042-953A-5D17E215F4DE}"/>
              </a:ext>
            </a:extLst>
          </xdr:cNvPr>
          <xdr:cNvSpPr>
            <a:spLocks noChangeAspect="1"/>
          </xdr:cNvSpPr>
        </xdr:nvSpPr>
        <xdr:spPr>
          <a:xfrm>
            <a:off x="13287226" y="1950303"/>
            <a:ext cx="1103650" cy="586494"/>
          </a:xfrm>
          <a:prstGeom prst="ellipse">
            <a:avLst/>
          </a:prstGeom>
          <a:no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lang="en-GB" sz="1400" u="none">
                <a:solidFill>
                  <a:sysClr val="windowText" lastClr="000000"/>
                </a:solidFill>
                <a:latin typeface="+mn-lt"/>
                <a:ea typeface="+mn-ea"/>
                <a:cs typeface="+mn-cs"/>
              </a:rPr>
              <a:t>long_haul</a:t>
            </a:r>
          </a:p>
        </xdr:txBody>
      </xdr:sp>
      <xdr:sp macro="" textlink="">
        <xdr:nvSpPr>
          <xdr:cNvPr id="210" name="Oval 209">
            <a:extLst>
              <a:ext uri="{FF2B5EF4-FFF2-40B4-BE49-F238E27FC236}">
                <a16:creationId xmlns:a16="http://schemas.microsoft.com/office/drawing/2014/main" id="{FE026CB1-4711-45DF-A09D-10BE96162687}"/>
              </a:ext>
            </a:extLst>
          </xdr:cNvPr>
          <xdr:cNvSpPr>
            <a:spLocks noChangeAspect="1"/>
          </xdr:cNvSpPr>
        </xdr:nvSpPr>
        <xdr:spPr>
          <a:xfrm>
            <a:off x="12800037" y="1168473"/>
            <a:ext cx="1094123" cy="594124"/>
          </a:xfrm>
          <a:prstGeom prst="ellipse">
            <a:avLst/>
          </a:prstGeom>
          <a:no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marL="0" indent="0" algn="ctr"/>
            <a:r>
              <a:rPr lang="en-GB" sz="1400" u="none">
                <a:solidFill>
                  <a:sysClr val="windowText" lastClr="000000"/>
                </a:solidFill>
                <a:latin typeface="+mn-lt"/>
                <a:ea typeface="+mn-ea"/>
                <a:cs typeface="+mn-cs"/>
              </a:rPr>
              <a:t>arrival_time</a:t>
            </a:r>
          </a:p>
        </xdr:txBody>
      </xdr:sp>
      <xdr:sp macro="" textlink="">
        <xdr:nvSpPr>
          <xdr:cNvPr id="211" name="Oval 210">
            <a:extLst>
              <a:ext uri="{FF2B5EF4-FFF2-40B4-BE49-F238E27FC236}">
                <a16:creationId xmlns:a16="http://schemas.microsoft.com/office/drawing/2014/main" id="{AFE0B12D-3A4D-4377-895C-C2E54144E719}"/>
              </a:ext>
            </a:extLst>
          </xdr:cNvPr>
          <xdr:cNvSpPr>
            <a:spLocks noChangeAspect="1"/>
          </xdr:cNvSpPr>
        </xdr:nvSpPr>
        <xdr:spPr>
          <a:xfrm>
            <a:off x="11474184" y="755637"/>
            <a:ext cx="1245298" cy="559808"/>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departure_time</a:t>
            </a:r>
          </a:p>
        </xdr:txBody>
      </xdr:sp>
      <xdr:cxnSp macro="">
        <xdr:nvCxnSpPr>
          <xdr:cNvPr id="218" name="Straight Connector 217">
            <a:extLst>
              <a:ext uri="{FF2B5EF4-FFF2-40B4-BE49-F238E27FC236}">
                <a16:creationId xmlns:a16="http://schemas.microsoft.com/office/drawing/2014/main" id="{4CBAEF7D-82DF-D012-2719-0CE7B47110AB}"/>
              </a:ext>
            </a:extLst>
          </xdr:cNvPr>
          <xdr:cNvCxnSpPr>
            <a:stCxn id="211" idx="4"/>
          </xdr:cNvCxnSpPr>
        </xdr:nvCxnSpPr>
        <xdr:spPr>
          <a:xfrm>
            <a:off x="12100643" y="1315445"/>
            <a:ext cx="34207" cy="1555369"/>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222" name="Straight Connector 221">
            <a:extLst>
              <a:ext uri="{FF2B5EF4-FFF2-40B4-BE49-F238E27FC236}">
                <a16:creationId xmlns:a16="http://schemas.microsoft.com/office/drawing/2014/main" id="{5739AD0F-216D-F81A-C273-60081E5B1AC1}"/>
              </a:ext>
            </a:extLst>
          </xdr:cNvPr>
          <xdr:cNvCxnSpPr>
            <a:stCxn id="210" idx="3"/>
          </xdr:cNvCxnSpPr>
        </xdr:nvCxnSpPr>
        <xdr:spPr>
          <a:xfrm flipH="1">
            <a:off x="12350750" y="1667691"/>
            <a:ext cx="601061" cy="1219019"/>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224" name="Straight Connector 223">
            <a:extLst>
              <a:ext uri="{FF2B5EF4-FFF2-40B4-BE49-F238E27FC236}">
                <a16:creationId xmlns:a16="http://schemas.microsoft.com/office/drawing/2014/main" id="{5670DCEF-7232-CDD2-87F1-98C2BC4DF6B7}"/>
              </a:ext>
            </a:extLst>
          </xdr:cNvPr>
          <xdr:cNvCxnSpPr>
            <a:stCxn id="206" idx="3"/>
          </xdr:cNvCxnSpPr>
        </xdr:nvCxnSpPr>
        <xdr:spPr>
          <a:xfrm flipH="1">
            <a:off x="12477750" y="2438967"/>
            <a:ext cx="973796" cy="589348"/>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228" name="Straight Connector 227">
            <a:extLst>
              <a:ext uri="{FF2B5EF4-FFF2-40B4-BE49-F238E27FC236}">
                <a16:creationId xmlns:a16="http://schemas.microsoft.com/office/drawing/2014/main" id="{6248F0AA-2E8A-BC9A-258A-779748ABDE3B}"/>
              </a:ext>
            </a:extLst>
          </xdr:cNvPr>
          <xdr:cNvCxnSpPr>
            <a:stCxn id="200" idx="1"/>
          </xdr:cNvCxnSpPr>
        </xdr:nvCxnSpPr>
        <xdr:spPr>
          <a:xfrm flipH="1" flipV="1">
            <a:off x="12464458" y="3515029"/>
            <a:ext cx="339999" cy="191290"/>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230" name="Straight Connector 229">
            <a:extLst>
              <a:ext uri="{FF2B5EF4-FFF2-40B4-BE49-F238E27FC236}">
                <a16:creationId xmlns:a16="http://schemas.microsoft.com/office/drawing/2014/main" id="{C50759CE-8E0C-4663-F46D-F67B661D0820}"/>
              </a:ext>
            </a:extLst>
          </xdr:cNvPr>
          <xdr:cNvCxnSpPr>
            <a:cxnSpLocks/>
            <a:endCxn id="255" idx="5"/>
          </xdr:cNvCxnSpPr>
        </xdr:nvCxnSpPr>
        <xdr:spPr>
          <a:xfrm flipH="1" flipV="1">
            <a:off x="11209514" y="2439895"/>
            <a:ext cx="200166" cy="426691"/>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138" name="Connector: Elbow 137">
            <a:extLst>
              <a:ext uri="{FF2B5EF4-FFF2-40B4-BE49-F238E27FC236}">
                <a16:creationId xmlns:a16="http://schemas.microsoft.com/office/drawing/2014/main" id="{9D2E48AA-9C4A-49F5-26FE-FCA084104F81}"/>
              </a:ext>
            </a:extLst>
          </xdr:cNvPr>
          <xdr:cNvCxnSpPr>
            <a:stCxn id="85" idx="1"/>
          </xdr:cNvCxnSpPr>
        </xdr:nvCxnSpPr>
        <xdr:spPr>
          <a:xfrm rot="10800000">
            <a:off x="6550154" y="6456518"/>
            <a:ext cx="1846897" cy="1270936"/>
          </a:xfrm>
          <a:prstGeom prst="bentConnector3">
            <a:avLst>
              <a:gd name="adj1" fmla="val 100054"/>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161" name="Rectangle 160">
            <a:extLst>
              <a:ext uri="{FF2B5EF4-FFF2-40B4-BE49-F238E27FC236}">
                <a16:creationId xmlns:a16="http://schemas.microsoft.com/office/drawing/2014/main" id="{BFFABC0B-1B1B-472E-3939-DCA227B635D1}"/>
              </a:ext>
            </a:extLst>
          </xdr:cNvPr>
          <xdr:cNvSpPr/>
        </xdr:nvSpPr>
        <xdr:spPr>
          <a:xfrm>
            <a:off x="2114550" y="6695230"/>
            <a:ext cx="1882775" cy="1295172"/>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65" name="Straight Connector 164">
            <a:extLst>
              <a:ext uri="{FF2B5EF4-FFF2-40B4-BE49-F238E27FC236}">
                <a16:creationId xmlns:a16="http://schemas.microsoft.com/office/drawing/2014/main" id="{35B3F20B-D047-4765-99A9-4A4CB06A1C00}"/>
              </a:ext>
            </a:extLst>
          </xdr:cNvPr>
          <xdr:cNvCxnSpPr>
            <a:stCxn id="54" idx="6"/>
            <a:endCxn id="161" idx="1"/>
          </xdr:cNvCxnSpPr>
        </xdr:nvCxnSpPr>
        <xdr:spPr>
          <a:xfrm>
            <a:off x="1944370" y="7346386"/>
            <a:ext cx="170180" cy="5955"/>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sp macro="" textlink="">
        <xdr:nvSpPr>
          <xdr:cNvPr id="175" name="TextBox 174">
            <a:extLst>
              <a:ext uri="{FF2B5EF4-FFF2-40B4-BE49-F238E27FC236}">
                <a16:creationId xmlns:a16="http://schemas.microsoft.com/office/drawing/2014/main" id="{52774211-21A5-4E30-A91A-3FD4E9E7674E}"/>
              </a:ext>
            </a:extLst>
          </xdr:cNvPr>
          <xdr:cNvSpPr txBox="1"/>
        </xdr:nvSpPr>
        <xdr:spPr>
          <a:xfrm>
            <a:off x="4012565" y="6981515"/>
            <a:ext cx="531028" cy="3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a:t>
            </a:r>
          </a:p>
        </xdr:txBody>
      </xdr:sp>
      <xdr:sp macro="" textlink="">
        <xdr:nvSpPr>
          <xdr:cNvPr id="177" name="TextBox 176">
            <a:extLst>
              <a:ext uri="{FF2B5EF4-FFF2-40B4-BE49-F238E27FC236}">
                <a16:creationId xmlns:a16="http://schemas.microsoft.com/office/drawing/2014/main" id="{30B19F86-00FB-43DB-BED1-C077BF9B0BFA}"/>
              </a:ext>
            </a:extLst>
          </xdr:cNvPr>
          <xdr:cNvSpPr txBox="1"/>
        </xdr:nvSpPr>
        <xdr:spPr>
          <a:xfrm>
            <a:off x="2535555" y="6333626"/>
            <a:ext cx="500656" cy="357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a:t>
            </a:r>
          </a:p>
        </xdr:txBody>
      </xdr:sp>
      <xdr:sp macro="" textlink="">
        <xdr:nvSpPr>
          <xdr:cNvPr id="183" name="TextBox 182">
            <a:extLst>
              <a:ext uri="{FF2B5EF4-FFF2-40B4-BE49-F238E27FC236}">
                <a16:creationId xmlns:a16="http://schemas.microsoft.com/office/drawing/2014/main" id="{241EA0B8-CF21-43E1-BDBE-7607E6DCD30A}"/>
              </a:ext>
            </a:extLst>
          </xdr:cNvPr>
          <xdr:cNvSpPr txBox="1"/>
        </xdr:nvSpPr>
        <xdr:spPr>
          <a:xfrm>
            <a:off x="7305675" y="3104463"/>
            <a:ext cx="554073" cy="39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0..*</a:t>
            </a:r>
          </a:p>
        </xdr:txBody>
      </xdr:sp>
      <xdr:sp macro="" textlink="">
        <xdr:nvSpPr>
          <xdr:cNvPr id="184" name="TextBox 183">
            <a:extLst>
              <a:ext uri="{FF2B5EF4-FFF2-40B4-BE49-F238E27FC236}">
                <a16:creationId xmlns:a16="http://schemas.microsoft.com/office/drawing/2014/main" id="{9424BA9A-C505-4CFE-B489-82A473A26AA4}"/>
              </a:ext>
            </a:extLst>
          </xdr:cNvPr>
          <xdr:cNvSpPr txBox="1"/>
        </xdr:nvSpPr>
        <xdr:spPr>
          <a:xfrm>
            <a:off x="8639175" y="2134050"/>
            <a:ext cx="283935" cy="40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800"/>
              <a:t>1</a:t>
            </a:r>
          </a:p>
        </xdr:txBody>
      </xdr:sp>
      <xdr:sp macro="" textlink="">
        <xdr:nvSpPr>
          <xdr:cNvPr id="185" name="Rectangle 184">
            <a:extLst>
              <a:ext uri="{FF2B5EF4-FFF2-40B4-BE49-F238E27FC236}">
                <a16:creationId xmlns:a16="http://schemas.microsoft.com/office/drawing/2014/main" id="{417940E3-DD11-442D-9FD7-91EB7BD84291}"/>
              </a:ext>
            </a:extLst>
          </xdr:cNvPr>
          <xdr:cNvSpPr/>
        </xdr:nvSpPr>
        <xdr:spPr>
          <a:xfrm>
            <a:off x="7122160" y="1961191"/>
            <a:ext cx="1494155" cy="1144542"/>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92" name="Oval 191">
            <a:extLst>
              <a:ext uri="{FF2B5EF4-FFF2-40B4-BE49-F238E27FC236}">
                <a16:creationId xmlns:a16="http://schemas.microsoft.com/office/drawing/2014/main" id="{52F9FD66-D74C-45D6-90D7-CAD79EADF7A9}"/>
              </a:ext>
            </a:extLst>
          </xdr:cNvPr>
          <xdr:cNvSpPr>
            <a:spLocks noChangeAspect="1"/>
          </xdr:cNvSpPr>
        </xdr:nvSpPr>
        <xdr:spPr>
          <a:xfrm>
            <a:off x="6002655" y="1017416"/>
            <a:ext cx="1097937" cy="575061"/>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captain</a:t>
            </a:r>
          </a:p>
        </xdr:txBody>
      </xdr:sp>
      <xdr:sp macro="" textlink="">
        <xdr:nvSpPr>
          <xdr:cNvPr id="193" name="Oval 192">
            <a:extLst>
              <a:ext uri="{FF2B5EF4-FFF2-40B4-BE49-F238E27FC236}">
                <a16:creationId xmlns:a16="http://schemas.microsoft.com/office/drawing/2014/main" id="{9541621D-CC9D-45BF-B2F0-D72EC7518CB8}"/>
              </a:ext>
            </a:extLst>
          </xdr:cNvPr>
          <xdr:cNvSpPr>
            <a:spLocks noChangeAspect="1"/>
          </xdr:cNvSpPr>
        </xdr:nvSpPr>
        <xdr:spPr>
          <a:xfrm>
            <a:off x="7181215" y="806539"/>
            <a:ext cx="1082697" cy="584588"/>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officer</a:t>
            </a:r>
          </a:p>
        </xdr:txBody>
      </xdr:sp>
      <xdr:sp macro="" textlink="">
        <xdr:nvSpPr>
          <xdr:cNvPr id="194" name="Oval 193">
            <a:extLst>
              <a:ext uri="{FF2B5EF4-FFF2-40B4-BE49-F238E27FC236}">
                <a16:creationId xmlns:a16="http://schemas.microsoft.com/office/drawing/2014/main" id="{1DAE4432-8019-4C9A-B3FB-957B177F25E4}"/>
              </a:ext>
            </a:extLst>
          </xdr:cNvPr>
          <xdr:cNvSpPr>
            <a:spLocks noChangeAspect="1"/>
          </xdr:cNvSpPr>
        </xdr:nvSpPr>
        <xdr:spPr>
          <a:xfrm>
            <a:off x="8419465" y="968483"/>
            <a:ext cx="1065552" cy="5617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reserve</a:t>
            </a:r>
          </a:p>
        </xdr:txBody>
      </xdr:sp>
      <xdr:cxnSp macro="">
        <xdr:nvCxnSpPr>
          <xdr:cNvPr id="198" name="Straight Connector 197">
            <a:extLst>
              <a:ext uri="{FF2B5EF4-FFF2-40B4-BE49-F238E27FC236}">
                <a16:creationId xmlns:a16="http://schemas.microsoft.com/office/drawing/2014/main" id="{2B555333-C639-4528-96A8-FB1444152D5C}"/>
              </a:ext>
            </a:extLst>
          </xdr:cNvPr>
          <xdr:cNvCxnSpPr>
            <a:stCxn id="26" idx="6"/>
            <a:endCxn id="185" idx="1"/>
          </xdr:cNvCxnSpPr>
        </xdr:nvCxnSpPr>
        <xdr:spPr>
          <a:xfrm>
            <a:off x="6795155" y="2523991"/>
            <a:ext cx="325100" cy="17091"/>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205" name="Straight Connector 204">
            <a:extLst>
              <a:ext uri="{FF2B5EF4-FFF2-40B4-BE49-F238E27FC236}">
                <a16:creationId xmlns:a16="http://schemas.microsoft.com/office/drawing/2014/main" id="{E41E7A0B-11EB-4ABE-AF3C-83BE1A38862D}"/>
              </a:ext>
            </a:extLst>
          </xdr:cNvPr>
          <xdr:cNvCxnSpPr>
            <a:stCxn id="193" idx="4"/>
            <a:endCxn id="185" idx="0"/>
          </xdr:cNvCxnSpPr>
        </xdr:nvCxnSpPr>
        <xdr:spPr>
          <a:xfrm>
            <a:off x="7713991" y="1398747"/>
            <a:ext cx="150484" cy="562444"/>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207" name="Straight Connector 206">
            <a:extLst>
              <a:ext uri="{FF2B5EF4-FFF2-40B4-BE49-F238E27FC236}">
                <a16:creationId xmlns:a16="http://schemas.microsoft.com/office/drawing/2014/main" id="{4149A899-F2D9-48C0-9B00-C51766CD05ED}"/>
              </a:ext>
            </a:extLst>
          </xdr:cNvPr>
          <xdr:cNvCxnSpPr>
            <a:stCxn id="194" idx="3"/>
          </xdr:cNvCxnSpPr>
        </xdr:nvCxnSpPr>
        <xdr:spPr>
          <a:xfrm flipH="1">
            <a:off x="8465185" y="1450639"/>
            <a:ext cx="114973" cy="527386"/>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xnSp macro="">
        <xdr:nvCxnSpPr>
          <xdr:cNvPr id="208" name="Straight Connector 207">
            <a:extLst>
              <a:ext uri="{FF2B5EF4-FFF2-40B4-BE49-F238E27FC236}">
                <a16:creationId xmlns:a16="http://schemas.microsoft.com/office/drawing/2014/main" id="{9A880C37-905F-43B0-BCF9-1EFE946AE679}"/>
              </a:ext>
            </a:extLst>
          </xdr:cNvPr>
          <xdr:cNvCxnSpPr>
            <a:stCxn id="192" idx="5"/>
          </xdr:cNvCxnSpPr>
        </xdr:nvCxnSpPr>
        <xdr:spPr>
          <a:xfrm>
            <a:off x="6934367" y="1511792"/>
            <a:ext cx="389723" cy="466233"/>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sp macro="" textlink="">
        <xdr:nvSpPr>
          <xdr:cNvPr id="251" name="Oval 250">
            <a:extLst>
              <a:ext uri="{FF2B5EF4-FFF2-40B4-BE49-F238E27FC236}">
                <a16:creationId xmlns:a16="http://schemas.microsoft.com/office/drawing/2014/main" id="{B5A541F2-3339-4802-9E5E-18F4EA81097F}"/>
              </a:ext>
            </a:extLst>
          </xdr:cNvPr>
          <xdr:cNvSpPr>
            <a:spLocks noChangeAspect="1"/>
          </xdr:cNvSpPr>
        </xdr:nvSpPr>
        <xdr:spPr>
          <a:xfrm>
            <a:off x="10578465" y="1279125"/>
            <a:ext cx="1076982" cy="57841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crewed</a:t>
            </a:r>
          </a:p>
        </xdr:txBody>
      </xdr:sp>
      <xdr:sp macro="" textlink="">
        <xdr:nvSpPr>
          <xdr:cNvPr id="255" name="Oval 254">
            <a:extLst>
              <a:ext uri="{FF2B5EF4-FFF2-40B4-BE49-F238E27FC236}">
                <a16:creationId xmlns:a16="http://schemas.microsoft.com/office/drawing/2014/main" id="{3BC8200D-0EBE-4FA6-AC8B-189B1E7044A7}"/>
              </a:ext>
            </a:extLst>
          </xdr:cNvPr>
          <xdr:cNvSpPr>
            <a:spLocks noChangeAspect="1"/>
          </xdr:cNvSpPr>
        </xdr:nvSpPr>
        <xdr:spPr>
          <a:xfrm>
            <a:off x="10277475" y="1951854"/>
            <a:ext cx="1094127" cy="566984"/>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none">
                <a:solidFill>
                  <a:sysClr val="windowText" lastClr="000000"/>
                </a:solidFill>
              </a:rPr>
              <a:t>active</a:t>
            </a:r>
          </a:p>
        </xdr:txBody>
      </xdr:sp>
      <xdr:cxnSp macro="">
        <xdr:nvCxnSpPr>
          <xdr:cNvPr id="258" name="Straight Connector 257">
            <a:extLst>
              <a:ext uri="{FF2B5EF4-FFF2-40B4-BE49-F238E27FC236}">
                <a16:creationId xmlns:a16="http://schemas.microsoft.com/office/drawing/2014/main" id="{69E07E70-0E35-4C71-9BC9-0B8A07D72D9B}"/>
              </a:ext>
            </a:extLst>
          </xdr:cNvPr>
          <xdr:cNvCxnSpPr>
            <a:cxnSpLocks/>
            <a:stCxn id="9" idx="0"/>
            <a:endCxn id="251" idx="5"/>
          </xdr:cNvCxnSpPr>
        </xdr:nvCxnSpPr>
        <xdr:spPr>
          <a:xfrm flipH="1" flipV="1">
            <a:off x="11491175" y="1773673"/>
            <a:ext cx="296957" cy="1087383"/>
          </a:xfrm>
          <a:prstGeom prst="line">
            <a:avLst/>
          </a:prstGeom>
          <a:ln>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sp macro="" textlink="">
        <xdr:nvSpPr>
          <xdr:cNvPr id="26" name="Oval 25">
            <a:extLst>
              <a:ext uri="{FF2B5EF4-FFF2-40B4-BE49-F238E27FC236}">
                <a16:creationId xmlns:a16="http://schemas.microsoft.com/office/drawing/2014/main" id="{3969EE7E-70B1-4B5F-AB6B-60BA7E75A18E}"/>
              </a:ext>
            </a:extLst>
          </xdr:cNvPr>
          <xdr:cNvSpPr>
            <a:spLocks noChangeAspect="1"/>
          </xdr:cNvSpPr>
        </xdr:nvSpPr>
        <xdr:spPr>
          <a:xfrm>
            <a:off x="5704840" y="2244090"/>
            <a:ext cx="1090315" cy="561706"/>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idCrew</a:t>
            </a:r>
          </a:p>
        </xdr:txBody>
      </xdr:sp>
      <xdr:sp macro="" textlink="">
        <xdr:nvSpPr>
          <xdr:cNvPr id="54" name="Oval 53">
            <a:extLst>
              <a:ext uri="{FF2B5EF4-FFF2-40B4-BE49-F238E27FC236}">
                <a16:creationId xmlns:a16="http://schemas.microsoft.com/office/drawing/2014/main" id="{4830E17F-4FB9-42C9-BFEB-45B5F6CBE056}"/>
              </a:ext>
            </a:extLst>
          </xdr:cNvPr>
          <xdr:cNvSpPr>
            <a:spLocks noChangeAspect="1"/>
          </xdr:cNvSpPr>
        </xdr:nvSpPr>
        <xdr:spPr>
          <a:xfrm>
            <a:off x="621665" y="7014845"/>
            <a:ext cx="1318895" cy="655462"/>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r>
              <a:rPr lang="en-GB" sz="1400" u="sng">
                <a:solidFill>
                  <a:sysClr val="windowText" lastClr="000000"/>
                </a:solidFill>
              </a:rPr>
              <a:t>idCertification</a:t>
            </a:r>
          </a:p>
        </xdr:txBody>
      </xdr:sp>
      <xdr:sp macro="" textlink="">
        <xdr:nvSpPr>
          <xdr:cNvPr id="2" name="TextBox 1">
            <a:extLst>
              <a:ext uri="{FF2B5EF4-FFF2-40B4-BE49-F238E27FC236}">
                <a16:creationId xmlns:a16="http://schemas.microsoft.com/office/drawing/2014/main" id="{D9A36249-7E01-3E6F-F0B3-C8E28BB5CDB3}"/>
              </a:ext>
            </a:extLst>
          </xdr:cNvPr>
          <xdr:cNvSpPr txBox="1"/>
        </xdr:nvSpPr>
        <xdr:spPr>
          <a:xfrm>
            <a:off x="1075690" y="10226040"/>
            <a:ext cx="288816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a:t>*foreign key simulated for assignment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xdr:colOff>
      <xdr:row>5</xdr:row>
      <xdr:rowOff>104775</xdr:rowOff>
    </xdr:from>
    <xdr:to>
      <xdr:col>5</xdr:col>
      <xdr:colOff>358140</xdr:colOff>
      <xdr:row>5</xdr:row>
      <xdr:rowOff>104775</xdr:rowOff>
    </xdr:to>
    <xdr:cxnSp macro="">
      <xdr:nvCxnSpPr>
        <xdr:cNvPr id="10" name="Straight Connector 9">
          <a:extLst>
            <a:ext uri="{FF2B5EF4-FFF2-40B4-BE49-F238E27FC236}">
              <a16:creationId xmlns:a16="http://schemas.microsoft.com/office/drawing/2014/main" id="{22A13E32-ADF8-4A9C-AE31-006AC1212EA1}"/>
            </a:ext>
          </a:extLst>
        </xdr:cNvPr>
        <xdr:cNvCxnSpPr/>
      </xdr:nvCxnSpPr>
      <xdr:spPr>
        <a:xfrm flipH="1" flipV="1">
          <a:off x="4895850" y="1009650"/>
          <a:ext cx="348615" cy="0"/>
        </a:xfrm>
        <a:prstGeom prst="line">
          <a:avLst/>
        </a:prstGeom>
        <a:ln w="19050">
          <a:solidFill>
            <a:schemeClr val="tx1"/>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152400</xdr:colOff>
      <xdr:row>23</xdr:row>
      <xdr:rowOff>38100</xdr:rowOff>
    </xdr:from>
    <xdr:to>
      <xdr:col>2</xdr:col>
      <xdr:colOff>1906</xdr:colOff>
      <xdr:row>40</xdr:row>
      <xdr:rowOff>60959</xdr:rowOff>
    </xdr:to>
    <xdr:sp macro="" textlink="">
      <xdr:nvSpPr>
        <xdr:cNvPr id="32" name="Freeform: Shape 31">
          <a:extLst>
            <a:ext uri="{FF2B5EF4-FFF2-40B4-BE49-F238E27FC236}">
              <a16:creationId xmlns:a16="http://schemas.microsoft.com/office/drawing/2014/main" id="{3A513010-DBED-47B7-B9D4-D27DA47D6693}"/>
            </a:ext>
          </a:extLst>
        </xdr:cNvPr>
        <xdr:cNvSpPr/>
      </xdr:nvSpPr>
      <xdr:spPr>
        <a:xfrm>
          <a:off x="762000" y="4200525"/>
          <a:ext cx="459106" cy="3099434"/>
        </a:xfrm>
        <a:custGeom>
          <a:avLst/>
          <a:gdLst>
            <a:gd name="csX0" fmla="*/ 257175 w 257175"/>
            <a:gd name="csY0" fmla="*/ 0 h 1752600"/>
            <a:gd name="csX1" fmla="*/ 0 w 257175"/>
            <a:gd name="csY1" fmla="*/ 0 h 1752600"/>
            <a:gd name="csX2" fmla="*/ 0 w 257175"/>
            <a:gd name="csY2" fmla="*/ 1752600 h 1752600"/>
            <a:gd name="csX3" fmla="*/ 257175 w 257175"/>
            <a:gd name="csY3" fmla="*/ 1752600 h 1752600"/>
          </a:gdLst>
          <a:ahLst/>
          <a:cxnLst>
            <a:cxn ang="0">
              <a:pos x="csX0" y="csY0"/>
            </a:cxn>
            <a:cxn ang="0">
              <a:pos x="csX1" y="csY1"/>
            </a:cxn>
            <a:cxn ang="0">
              <a:pos x="csX2" y="csY2"/>
            </a:cxn>
            <a:cxn ang="0">
              <a:pos x="csX3" y="csY3"/>
            </a:cxn>
          </a:cxnLst>
          <a:rect l="l" t="t" r="r" b="b"/>
          <a:pathLst>
            <a:path w="257175" h="1752600">
              <a:moveTo>
                <a:pt x="257175" y="0"/>
              </a:moveTo>
              <a:lnTo>
                <a:pt x="0" y="0"/>
              </a:lnTo>
              <a:lnTo>
                <a:pt x="0" y="1752600"/>
              </a:lnTo>
              <a:lnTo>
                <a:pt x="257175" y="1752600"/>
              </a:ln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152400</xdr:colOff>
      <xdr:row>7</xdr:row>
      <xdr:rowOff>9525</xdr:rowOff>
    </xdr:from>
    <xdr:to>
      <xdr:col>1</xdr:col>
      <xdr:colOff>607696</xdr:colOff>
      <xdr:row>21</xdr:row>
      <xdr:rowOff>0</xdr:rowOff>
    </xdr:to>
    <xdr:sp macro="" textlink="">
      <xdr:nvSpPr>
        <xdr:cNvPr id="33" name="Freeform: Shape 32">
          <a:extLst>
            <a:ext uri="{FF2B5EF4-FFF2-40B4-BE49-F238E27FC236}">
              <a16:creationId xmlns:a16="http://schemas.microsoft.com/office/drawing/2014/main" id="{D487C166-3259-46BF-9248-CDB22FCD7C2F}"/>
            </a:ext>
          </a:extLst>
        </xdr:cNvPr>
        <xdr:cNvSpPr/>
      </xdr:nvSpPr>
      <xdr:spPr>
        <a:xfrm>
          <a:off x="762000" y="1276350"/>
          <a:ext cx="455296" cy="2524125"/>
        </a:xfrm>
        <a:custGeom>
          <a:avLst/>
          <a:gdLst>
            <a:gd name="csX0" fmla="*/ 257175 w 257175"/>
            <a:gd name="csY0" fmla="*/ 0 h 1752600"/>
            <a:gd name="csX1" fmla="*/ 0 w 257175"/>
            <a:gd name="csY1" fmla="*/ 0 h 1752600"/>
            <a:gd name="csX2" fmla="*/ 0 w 257175"/>
            <a:gd name="csY2" fmla="*/ 1752600 h 1752600"/>
            <a:gd name="csX3" fmla="*/ 257175 w 257175"/>
            <a:gd name="csY3" fmla="*/ 1752600 h 1752600"/>
          </a:gdLst>
          <a:ahLst/>
          <a:cxnLst>
            <a:cxn ang="0">
              <a:pos x="csX0" y="csY0"/>
            </a:cxn>
            <a:cxn ang="0">
              <a:pos x="csX1" y="csY1"/>
            </a:cxn>
            <a:cxn ang="0">
              <a:pos x="csX2" y="csY2"/>
            </a:cxn>
            <a:cxn ang="0">
              <a:pos x="csX3" y="csY3"/>
            </a:cxn>
          </a:cxnLst>
          <a:rect l="l" t="t" r="r" b="b"/>
          <a:pathLst>
            <a:path w="257175" h="1752600">
              <a:moveTo>
                <a:pt x="257175" y="0"/>
              </a:moveTo>
              <a:lnTo>
                <a:pt x="0" y="0"/>
              </a:lnTo>
              <a:lnTo>
                <a:pt x="0" y="1752600"/>
              </a:lnTo>
              <a:lnTo>
                <a:pt x="257175" y="1752600"/>
              </a:ln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314325</xdr:colOff>
      <xdr:row>2</xdr:row>
      <xdr:rowOff>38100</xdr:rowOff>
    </xdr:from>
    <xdr:to>
      <xdr:col>5</xdr:col>
      <xdr:colOff>314325</xdr:colOff>
      <xdr:row>5</xdr:row>
      <xdr:rowOff>142875</xdr:rowOff>
    </xdr:to>
    <xdr:cxnSp macro="">
      <xdr:nvCxnSpPr>
        <xdr:cNvPr id="2" name="Straight Connector 1">
          <a:extLst>
            <a:ext uri="{FF2B5EF4-FFF2-40B4-BE49-F238E27FC236}">
              <a16:creationId xmlns:a16="http://schemas.microsoft.com/office/drawing/2014/main" id="{69EF726E-3A0B-4DC9-A594-1D2367A0ABF2}"/>
            </a:ext>
          </a:extLst>
        </xdr:cNvPr>
        <xdr:cNvCxnSpPr/>
      </xdr:nvCxnSpPr>
      <xdr:spPr>
        <a:xfrm>
          <a:off x="5467350" y="400050"/>
          <a:ext cx="0" cy="647700"/>
        </a:xfrm>
        <a:prstGeom prst="line">
          <a:avLst/>
        </a:prstGeom>
        <a:ln w="19050">
          <a:solidFill>
            <a:schemeClr val="tx1"/>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9525</xdr:colOff>
      <xdr:row>33</xdr:row>
      <xdr:rowOff>11430</xdr:rowOff>
    </xdr:from>
    <xdr:to>
      <xdr:col>4</xdr:col>
      <xdr:colOff>11430</xdr:colOff>
      <xdr:row>35</xdr:row>
      <xdr:rowOff>171450</xdr:rowOff>
    </xdr:to>
    <xdr:cxnSp macro="">
      <xdr:nvCxnSpPr>
        <xdr:cNvPr id="4" name="Straight Connector 3">
          <a:extLst>
            <a:ext uri="{FF2B5EF4-FFF2-40B4-BE49-F238E27FC236}">
              <a16:creationId xmlns:a16="http://schemas.microsoft.com/office/drawing/2014/main" id="{25FD73FE-FD8E-4665-A5FE-A61B0B489FEF}"/>
            </a:ext>
          </a:extLst>
        </xdr:cNvPr>
        <xdr:cNvCxnSpPr/>
      </xdr:nvCxnSpPr>
      <xdr:spPr>
        <a:xfrm flipH="1">
          <a:off x="3162300" y="5983605"/>
          <a:ext cx="1905" cy="521970"/>
        </a:xfrm>
        <a:prstGeom prst="line">
          <a:avLst/>
        </a:prstGeom>
        <a:ln w="19050">
          <a:solidFill>
            <a:schemeClr val="tx1"/>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17145</xdr:colOff>
      <xdr:row>27</xdr:row>
      <xdr:rowOff>9525</xdr:rowOff>
    </xdr:from>
    <xdr:to>
      <xdr:col>9</xdr:col>
      <xdr:colOff>19050</xdr:colOff>
      <xdr:row>31</xdr:row>
      <xdr:rowOff>7620</xdr:rowOff>
    </xdr:to>
    <xdr:cxnSp macro="">
      <xdr:nvCxnSpPr>
        <xdr:cNvPr id="5" name="Straight Connector 4">
          <a:extLst>
            <a:ext uri="{FF2B5EF4-FFF2-40B4-BE49-F238E27FC236}">
              <a16:creationId xmlns:a16="http://schemas.microsoft.com/office/drawing/2014/main" id="{8E500F72-0740-40D3-9E4E-C7BDA78AE0DC}"/>
            </a:ext>
          </a:extLst>
        </xdr:cNvPr>
        <xdr:cNvCxnSpPr/>
      </xdr:nvCxnSpPr>
      <xdr:spPr>
        <a:xfrm flipH="1">
          <a:off x="7713345" y="4895850"/>
          <a:ext cx="1905" cy="721995"/>
        </a:xfrm>
        <a:prstGeom prst="line">
          <a:avLst/>
        </a:prstGeom>
        <a:ln w="19050">
          <a:solidFill>
            <a:schemeClr val="tx1"/>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14</xdr:row>
      <xdr:rowOff>9525</xdr:rowOff>
    </xdr:from>
    <xdr:to>
      <xdr:col>9</xdr:col>
      <xdr:colOff>11430</xdr:colOff>
      <xdr:row>20</xdr:row>
      <xdr:rowOff>0</xdr:rowOff>
    </xdr:to>
    <xdr:cxnSp macro="">
      <xdr:nvCxnSpPr>
        <xdr:cNvPr id="9" name="Straight Connector 8">
          <a:extLst>
            <a:ext uri="{FF2B5EF4-FFF2-40B4-BE49-F238E27FC236}">
              <a16:creationId xmlns:a16="http://schemas.microsoft.com/office/drawing/2014/main" id="{106ED853-7518-4C20-AFD3-6B5E68890ABD}"/>
            </a:ext>
          </a:extLst>
        </xdr:cNvPr>
        <xdr:cNvCxnSpPr/>
      </xdr:nvCxnSpPr>
      <xdr:spPr>
        <a:xfrm>
          <a:off x="7696200" y="2543175"/>
          <a:ext cx="11430" cy="1076325"/>
        </a:xfrm>
        <a:prstGeom prst="line">
          <a:avLst/>
        </a:prstGeom>
        <a:ln w="19050">
          <a:solidFill>
            <a:schemeClr val="tx1"/>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11430</xdr:colOff>
      <xdr:row>14</xdr:row>
      <xdr:rowOff>9525</xdr:rowOff>
    </xdr:from>
    <xdr:to>
      <xdr:col>8</xdr:col>
      <xdr:colOff>598170</xdr:colOff>
      <xdr:row>28</xdr:row>
      <xdr:rowOff>167640</xdr:rowOff>
    </xdr:to>
    <xdr:sp macro="" textlink="">
      <xdr:nvSpPr>
        <xdr:cNvPr id="16" name="Freeform: Shape 15">
          <a:extLst>
            <a:ext uri="{FF2B5EF4-FFF2-40B4-BE49-F238E27FC236}">
              <a16:creationId xmlns:a16="http://schemas.microsoft.com/office/drawing/2014/main" id="{E7B5F592-E77A-F92D-DD4A-923BD3AF8493}"/>
            </a:ext>
          </a:extLst>
        </xdr:cNvPr>
        <xdr:cNvSpPr/>
      </xdr:nvSpPr>
      <xdr:spPr>
        <a:xfrm>
          <a:off x="5164455" y="2543175"/>
          <a:ext cx="1701165" cy="2691765"/>
        </a:xfrm>
        <a:custGeom>
          <a:avLst/>
          <a:gdLst>
            <a:gd name="csX0" fmla="*/ 1695450 w 1704975"/>
            <a:gd name="csY0" fmla="*/ 0 h 2876550"/>
            <a:gd name="csX1" fmla="*/ 1704975 w 1704975"/>
            <a:gd name="csY1" fmla="*/ 885825 h 2876550"/>
            <a:gd name="csX2" fmla="*/ 314325 w 1704975"/>
            <a:gd name="csY2" fmla="*/ 895350 h 2876550"/>
            <a:gd name="csX3" fmla="*/ 314325 w 1704975"/>
            <a:gd name="csY3" fmla="*/ 2876550 h 2876550"/>
            <a:gd name="csX4" fmla="*/ 0 w 1704975"/>
            <a:gd name="csY4" fmla="*/ 2876550 h 2876550"/>
          </a:gdLst>
          <a:ahLst/>
          <a:cxnLst>
            <a:cxn ang="0">
              <a:pos x="csX0" y="csY0"/>
            </a:cxn>
            <a:cxn ang="0">
              <a:pos x="csX1" y="csY1"/>
            </a:cxn>
            <a:cxn ang="0">
              <a:pos x="csX2" y="csY2"/>
            </a:cxn>
            <a:cxn ang="0">
              <a:pos x="csX3" y="csY3"/>
            </a:cxn>
            <a:cxn ang="0">
              <a:pos x="csX4" y="csY4"/>
            </a:cxn>
          </a:cxnLst>
          <a:rect l="l" t="t" r="r" b="b"/>
          <a:pathLst>
            <a:path w="1704975" h="2876550">
              <a:moveTo>
                <a:pt x="1695450" y="0"/>
              </a:moveTo>
              <a:lnTo>
                <a:pt x="1704975" y="885825"/>
              </a:lnTo>
              <a:lnTo>
                <a:pt x="314325" y="895350"/>
              </a:lnTo>
              <a:lnTo>
                <a:pt x="314325" y="2876550"/>
              </a:lnTo>
              <a:lnTo>
                <a:pt x="0" y="2876550"/>
              </a:ln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9525</xdr:colOff>
      <xdr:row>30</xdr:row>
      <xdr:rowOff>171450</xdr:rowOff>
    </xdr:from>
    <xdr:to>
      <xdr:col>7</xdr:col>
      <xdr:colOff>0</xdr:colOff>
      <xdr:row>33</xdr:row>
      <xdr:rowOff>171450</xdr:rowOff>
    </xdr:to>
    <xdr:sp macro="" textlink="">
      <xdr:nvSpPr>
        <xdr:cNvPr id="19" name="Freeform: Shape 18">
          <a:extLst>
            <a:ext uri="{FF2B5EF4-FFF2-40B4-BE49-F238E27FC236}">
              <a16:creationId xmlns:a16="http://schemas.microsoft.com/office/drawing/2014/main" id="{9C45C6E7-2B9B-A1DB-1236-AF05EF2B3530}"/>
            </a:ext>
          </a:extLst>
        </xdr:cNvPr>
        <xdr:cNvSpPr/>
      </xdr:nvSpPr>
      <xdr:spPr>
        <a:xfrm>
          <a:off x="5162550" y="5600700"/>
          <a:ext cx="638175" cy="542925"/>
        </a:xfrm>
        <a:custGeom>
          <a:avLst/>
          <a:gdLst>
            <a:gd name="csX0" fmla="*/ 0 w 638175"/>
            <a:gd name="csY0" fmla="*/ 0 h 542925"/>
            <a:gd name="csX1" fmla="*/ 314325 w 638175"/>
            <a:gd name="csY1" fmla="*/ 0 h 542925"/>
            <a:gd name="csX2" fmla="*/ 314325 w 638175"/>
            <a:gd name="csY2" fmla="*/ 542925 h 542925"/>
            <a:gd name="csX3" fmla="*/ 638175 w 638175"/>
            <a:gd name="csY3" fmla="*/ 542925 h 542925"/>
          </a:gdLst>
          <a:ahLst/>
          <a:cxnLst>
            <a:cxn ang="0">
              <a:pos x="csX0" y="csY0"/>
            </a:cxn>
            <a:cxn ang="0">
              <a:pos x="csX1" y="csY1"/>
            </a:cxn>
            <a:cxn ang="0">
              <a:pos x="csX2" y="csY2"/>
            </a:cxn>
            <a:cxn ang="0">
              <a:pos x="csX3" y="csY3"/>
            </a:cxn>
          </a:cxnLst>
          <a:rect l="l" t="t" r="r" b="b"/>
          <a:pathLst>
            <a:path w="638175" h="542925">
              <a:moveTo>
                <a:pt x="0" y="0"/>
              </a:moveTo>
              <a:lnTo>
                <a:pt x="314325" y="0"/>
              </a:lnTo>
              <a:lnTo>
                <a:pt x="314325" y="542925"/>
              </a:lnTo>
              <a:lnTo>
                <a:pt x="638175" y="542925"/>
              </a:ln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9525</xdr:colOff>
      <xdr:row>9</xdr:row>
      <xdr:rowOff>9525</xdr:rowOff>
    </xdr:from>
    <xdr:to>
      <xdr:col>7</xdr:col>
      <xdr:colOff>0</xdr:colOff>
      <xdr:row>15</xdr:row>
      <xdr:rowOff>9525</xdr:rowOff>
    </xdr:to>
    <xdr:sp macro="" textlink="">
      <xdr:nvSpPr>
        <xdr:cNvPr id="20" name="Freeform: Shape 19">
          <a:extLst>
            <a:ext uri="{FF2B5EF4-FFF2-40B4-BE49-F238E27FC236}">
              <a16:creationId xmlns:a16="http://schemas.microsoft.com/office/drawing/2014/main" id="{EC020984-BC20-5E17-E671-6A10D1FFBE46}"/>
            </a:ext>
          </a:extLst>
        </xdr:cNvPr>
        <xdr:cNvSpPr/>
      </xdr:nvSpPr>
      <xdr:spPr>
        <a:xfrm>
          <a:off x="5162550" y="1638300"/>
          <a:ext cx="638175" cy="1085850"/>
        </a:xfrm>
        <a:custGeom>
          <a:avLst/>
          <a:gdLst>
            <a:gd name="csX0" fmla="*/ 0 w 638175"/>
            <a:gd name="csY0" fmla="*/ 1085850 h 1085850"/>
            <a:gd name="csX1" fmla="*/ 323850 w 638175"/>
            <a:gd name="csY1" fmla="*/ 1085850 h 1085850"/>
            <a:gd name="csX2" fmla="*/ 323850 w 638175"/>
            <a:gd name="csY2" fmla="*/ 0 h 1085850"/>
            <a:gd name="csX3" fmla="*/ 638175 w 638175"/>
            <a:gd name="csY3" fmla="*/ 0 h 1085850"/>
          </a:gdLst>
          <a:ahLst/>
          <a:cxnLst>
            <a:cxn ang="0">
              <a:pos x="csX0" y="csY0"/>
            </a:cxn>
            <a:cxn ang="0">
              <a:pos x="csX1" y="csY1"/>
            </a:cxn>
            <a:cxn ang="0">
              <a:pos x="csX2" y="csY2"/>
            </a:cxn>
            <a:cxn ang="0">
              <a:pos x="csX3" y="csY3"/>
            </a:cxn>
          </a:cxnLst>
          <a:rect l="l" t="t" r="r" b="b"/>
          <a:pathLst>
            <a:path w="638175" h="1085850">
              <a:moveTo>
                <a:pt x="0" y="1085850"/>
              </a:moveTo>
              <a:lnTo>
                <a:pt x="323850" y="1085850"/>
              </a:lnTo>
              <a:lnTo>
                <a:pt x="323850" y="0"/>
              </a:lnTo>
              <a:lnTo>
                <a:pt x="638175" y="0"/>
              </a:ln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0</xdr:colOff>
      <xdr:row>8</xdr:row>
      <xdr:rowOff>19050</xdr:rowOff>
    </xdr:from>
    <xdr:to>
      <xdr:col>4</xdr:col>
      <xdr:colOff>0</xdr:colOff>
      <xdr:row>10</xdr:row>
      <xdr:rowOff>167640</xdr:rowOff>
    </xdr:to>
    <xdr:cxnSp macro="">
      <xdr:nvCxnSpPr>
        <xdr:cNvPr id="21" name="Straight Connector 20">
          <a:extLst>
            <a:ext uri="{FF2B5EF4-FFF2-40B4-BE49-F238E27FC236}">
              <a16:creationId xmlns:a16="http://schemas.microsoft.com/office/drawing/2014/main" id="{0910D603-25BF-4A5E-BC34-56450A4E180D}"/>
            </a:ext>
          </a:extLst>
        </xdr:cNvPr>
        <xdr:cNvCxnSpPr/>
      </xdr:nvCxnSpPr>
      <xdr:spPr>
        <a:xfrm>
          <a:off x="3228975" y="1466850"/>
          <a:ext cx="0" cy="510540"/>
        </a:xfrm>
        <a:prstGeom prst="line">
          <a:avLst/>
        </a:prstGeom>
        <a:ln w="19050">
          <a:solidFill>
            <a:schemeClr val="tx1"/>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188595</xdr:colOff>
      <xdr:row>19</xdr:row>
      <xdr:rowOff>78105</xdr:rowOff>
    </xdr:from>
    <xdr:ext cx="419410" cy="280205"/>
    <xdr:sp macro="" textlink="">
      <xdr:nvSpPr>
        <xdr:cNvPr id="22" name="TextBox 21">
          <a:extLst>
            <a:ext uri="{FF2B5EF4-FFF2-40B4-BE49-F238E27FC236}">
              <a16:creationId xmlns:a16="http://schemas.microsoft.com/office/drawing/2014/main" id="{D1A47690-4D66-40BB-B368-A48A75C4E244}"/>
            </a:ext>
          </a:extLst>
        </xdr:cNvPr>
        <xdr:cNvSpPr txBox="1"/>
      </xdr:nvSpPr>
      <xdr:spPr>
        <a:xfrm>
          <a:off x="798195" y="3516630"/>
          <a:ext cx="4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a:t>
          </a:r>
        </a:p>
      </xdr:txBody>
    </xdr:sp>
    <xdr:clientData/>
  </xdr:oneCellAnchor>
  <xdr:oneCellAnchor>
    <xdr:from>
      <xdr:col>1</xdr:col>
      <xdr:colOff>188595</xdr:colOff>
      <xdr:row>5</xdr:row>
      <xdr:rowOff>81915</xdr:rowOff>
    </xdr:from>
    <xdr:ext cx="420756" cy="280205"/>
    <xdr:sp macro="" textlink="">
      <xdr:nvSpPr>
        <xdr:cNvPr id="24" name="TextBox 23">
          <a:extLst>
            <a:ext uri="{FF2B5EF4-FFF2-40B4-BE49-F238E27FC236}">
              <a16:creationId xmlns:a16="http://schemas.microsoft.com/office/drawing/2014/main" id="{165E8EB7-D42D-4FA0-817B-90B3B61CB33A}"/>
            </a:ext>
          </a:extLst>
        </xdr:cNvPr>
        <xdr:cNvSpPr txBox="1"/>
      </xdr:nvSpPr>
      <xdr:spPr>
        <a:xfrm>
          <a:off x="798195" y="986790"/>
          <a:ext cx="42075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0..1</a:t>
          </a:r>
        </a:p>
      </xdr:txBody>
    </xdr:sp>
    <xdr:clientData/>
  </xdr:oneCellAnchor>
  <xdr:oneCellAnchor>
    <xdr:from>
      <xdr:col>1</xdr:col>
      <xdr:colOff>192405</xdr:colOff>
      <xdr:row>21</xdr:row>
      <xdr:rowOff>110490</xdr:rowOff>
    </xdr:from>
    <xdr:ext cx="419410" cy="280205"/>
    <xdr:sp macro="" textlink="">
      <xdr:nvSpPr>
        <xdr:cNvPr id="25" name="TextBox 24">
          <a:extLst>
            <a:ext uri="{FF2B5EF4-FFF2-40B4-BE49-F238E27FC236}">
              <a16:creationId xmlns:a16="http://schemas.microsoft.com/office/drawing/2014/main" id="{06A4D989-4F0A-49CA-81DC-E58815B4779C}"/>
            </a:ext>
          </a:extLst>
        </xdr:cNvPr>
        <xdr:cNvSpPr txBox="1"/>
      </xdr:nvSpPr>
      <xdr:spPr>
        <a:xfrm>
          <a:off x="802005" y="3910965"/>
          <a:ext cx="4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a:t>
          </a:r>
        </a:p>
      </xdr:txBody>
    </xdr:sp>
    <xdr:clientData/>
  </xdr:oneCellAnchor>
  <xdr:oneCellAnchor>
    <xdr:from>
      <xdr:col>1</xdr:col>
      <xdr:colOff>352425</xdr:colOff>
      <xdr:row>38</xdr:row>
      <xdr:rowOff>125730</xdr:rowOff>
    </xdr:from>
    <xdr:ext cx="262636" cy="280205"/>
    <xdr:sp macro="" textlink="">
      <xdr:nvSpPr>
        <xdr:cNvPr id="28" name="TextBox 27">
          <a:extLst>
            <a:ext uri="{FF2B5EF4-FFF2-40B4-BE49-F238E27FC236}">
              <a16:creationId xmlns:a16="http://schemas.microsoft.com/office/drawing/2014/main" id="{FD30EA60-4469-4D38-B449-3429F6F16352}"/>
            </a:ext>
          </a:extLst>
        </xdr:cNvPr>
        <xdr:cNvSpPr txBox="1"/>
      </xdr:nvSpPr>
      <xdr:spPr>
        <a:xfrm>
          <a:off x="962025" y="7002780"/>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4</xdr:col>
      <xdr:colOff>9525</xdr:colOff>
      <xdr:row>34</xdr:row>
      <xdr:rowOff>93345</xdr:rowOff>
    </xdr:from>
    <xdr:ext cx="262636" cy="280205"/>
    <xdr:sp macro="" textlink="">
      <xdr:nvSpPr>
        <xdr:cNvPr id="29" name="TextBox 28">
          <a:extLst>
            <a:ext uri="{FF2B5EF4-FFF2-40B4-BE49-F238E27FC236}">
              <a16:creationId xmlns:a16="http://schemas.microsoft.com/office/drawing/2014/main" id="{F3EB493B-38ED-412A-8CE4-13402B48ECC7}"/>
            </a:ext>
          </a:extLst>
        </xdr:cNvPr>
        <xdr:cNvSpPr txBox="1"/>
      </xdr:nvSpPr>
      <xdr:spPr>
        <a:xfrm>
          <a:off x="3162300" y="6246495"/>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4</xdr:col>
      <xdr:colOff>20955</xdr:colOff>
      <xdr:row>33</xdr:row>
      <xdr:rowOff>9525</xdr:rowOff>
    </xdr:from>
    <xdr:ext cx="419410" cy="280205"/>
    <xdr:sp macro="" textlink="">
      <xdr:nvSpPr>
        <xdr:cNvPr id="40" name="TextBox 39">
          <a:extLst>
            <a:ext uri="{FF2B5EF4-FFF2-40B4-BE49-F238E27FC236}">
              <a16:creationId xmlns:a16="http://schemas.microsoft.com/office/drawing/2014/main" id="{B169C209-DB5E-42CA-9D14-FB8D7D5D6775}"/>
            </a:ext>
          </a:extLst>
        </xdr:cNvPr>
        <xdr:cNvSpPr txBox="1"/>
      </xdr:nvSpPr>
      <xdr:spPr>
        <a:xfrm>
          <a:off x="3173730" y="5981700"/>
          <a:ext cx="4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a:t>
          </a:r>
        </a:p>
      </xdr:txBody>
    </xdr:sp>
    <xdr:clientData/>
  </xdr:oneCellAnchor>
  <xdr:oneCellAnchor>
    <xdr:from>
      <xdr:col>5</xdr:col>
      <xdr:colOff>19050</xdr:colOff>
      <xdr:row>27</xdr:row>
      <xdr:rowOff>62865</xdr:rowOff>
    </xdr:from>
    <xdr:ext cx="262636" cy="280205"/>
    <xdr:sp macro="" textlink="">
      <xdr:nvSpPr>
        <xdr:cNvPr id="41" name="TextBox 40">
          <a:extLst>
            <a:ext uri="{FF2B5EF4-FFF2-40B4-BE49-F238E27FC236}">
              <a16:creationId xmlns:a16="http://schemas.microsoft.com/office/drawing/2014/main" id="{52B946CC-7E50-40A2-A3FB-F285DB311CD8}"/>
            </a:ext>
          </a:extLst>
        </xdr:cNvPr>
        <xdr:cNvSpPr txBox="1"/>
      </xdr:nvSpPr>
      <xdr:spPr>
        <a:xfrm>
          <a:off x="5172075" y="4949190"/>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8</xdr:col>
      <xdr:colOff>167640</xdr:colOff>
      <xdr:row>14</xdr:row>
      <xdr:rowOff>5715</xdr:rowOff>
    </xdr:from>
    <xdr:ext cx="419410" cy="280205"/>
    <xdr:sp macro="" textlink="">
      <xdr:nvSpPr>
        <xdr:cNvPr id="42" name="TextBox 41">
          <a:extLst>
            <a:ext uri="{FF2B5EF4-FFF2-40B4-BE49-F238E27FC236}">
              <a16:creationId xmlns:a16="http://schemas.microsoft.com/office/drawing/2014/main" id="{B79C131D-AB4E-4D84-A255-61A045B14266}"/>
            </a:ext>
          </a:extLst>
        </xdr:cNvPr>
        <xdr:cNvSpPr txBox="1"/>
      </xdr:nvSpPr>
      <xdr:spPr>
        <a:xfrm>
          <a:off x="6435090" y="2539365"/>
          <a:ext cx="4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a:t>
          </a:r>
        </a:p>
      </xdr:txBody>
    </xdr:sp>
    <xdr:clientData/>
  </xdr:oneCellAnchor>
  <xdr:oneCellAnchor>
    <xdr:from>
      <xdr:col>9</xdr:col>
      <xdr:colOff>24765</xdr:colOff>
      <xdr:row>29</xdr:row>
      <xdr:rowOff>91440</xdr:rowOff>
    </xdr:from>
    <xdr:ext cx="262636" cy="280205"/>
    <xdr:sp macro="" textlink="">
      <xdr:nvSpPr>
        <xdr:cNvPr id="43" name="TextBox 42">
          <a:extLst>
            <a:ext uri="{FF2B5EF4-FFF2-40B4-BE49-F238E27FC236}">
              <a16:creationId xmlns:a16="http://schemas.microsoft.com/office/drawing/2014/main" id="{185760F1-1979-4882-B7F8-148778F54AD1}"/>
            </a:ext>
          </a:extLst>
        </xdr:cNvPr>
        <xdr:cNvSpPr txBox="1"/>
      </xdr:nvSpPr>
      <xdr:spPr>
        <a:xfrm>
          <a:off x="7720965" y="5339715"/>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2</a:t>
          </a:r>
        </a:p>
      </xdr:txBody>
    </xdr:sp>
    <xdr:clientData/>
  </xdr:oneCellAnchor>
  <xdr:oneCellAnchor>
    <xdr:from>
      <xdr:col>5</xdr:col>
      <xdr:colOff>20955</xdr:colOff>
      <xdr:row>29</xdr:row>
      <xdr:rowOff>66675</xdr:rowOff>
    </xdr:from>
    <xdr:ext cx="419410" cy="280205"/>
    <xdr:sp macro="" textlink="">
      <xdr:nvSpPr>
        <xdr:cNvPr id="44" name="TextBox 43">
          <a:extLst>
            <a:ext uri="{FF2B5EF4-FFF2-40B4-BE49-F238E27FC236}">
              <a16:creationId xmlns:a16="http://schemas.microsoft.com/office/drawing/2014/main" id="{D4447DDC-E213-4C0A-B095-B23D95F9A15D}"/>
            </a:ext>
          </a:extLst>
        </xdr:cNvPr>
        <xdr:cNvSpPr txBox="1"/>
      </xdr:nvSpPr>
      <xdr:spPr>
        <a:xfrm>
          <a:off x="5173980" y="5314950"/>
          <a:ext cx="4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a:t>
          </a:r>
        </a:p>
      </xdr:txBody>
    </xdr:sp>
    <xdr:clientData/>
  </xdr:oneCellAnchor>
  <xdr:oneCellAnchor>
    <xdr:from>
      <xdr:col>6</xdr:col>
      <xdr:colOff>53340</xdr:colOff>
      <xdr:row>32</xdr:row>
      <xdr:rowOff>66675</xdr:rowOff>
    </xdr:from>
    <xdr:ext cx="262636" cy="280205"/>
    <xdr:sp macro="" textlink="">
      <xdr:nvSpPr>
        <xdr:cNvPr id="45" name="TextBox 44">
          <a:extLst>
            <a:ext uri="{FF2B5EF4-FFF2-40B4-BE49-F238E27FC236}">
              <a16:creationId xmlns:a16="http://schemas.microsoft.com/office/drawing/2014/main" id="{F2DBE2FE-83B3-4391-9ED6-A54BDCC737E4}"/>
            </a:ext>
          </a:extLst>
        </xdr:cNvPr>
        <xdr:cNvSpPr txBox="1"/>
      </xdr:nvSpPr>
      <xdr:spPr>
        <a:xfrm>
          <a:off x="5530215" y="5857875"/>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5</xdr:col>
      <xdr:colOff>20955</xdr:colOff>
      <xdr:row>4</xdr:row>
      <xdr:rowOff>5715</xdr:rowOff>
    </xdr:from>
    <xdr:ext cx="262636" cy="280205"/>
    <xdr:sp macro="" textlink="">
      <xdr:nvSpPr>
        <xdr:cNvPr id="46" name="TextBox 45">
          <a:extLst>
            <a:ext uri="{FF2B5EF4-FFF2-40B4-BE49-F238E27FC236}">
              <a16:creationId xmlns:a16="http://schemas.microsoft.com/office/drawing/2014/main" id="{4C59A46A-7A39-4F40-963E-0237BFD26018}"/>
            </a:ext>
          </a:extLst>
        </xdr:cNvPr>
        <xdr:cNvSpPr txBox="1"/>
      </xdr:nvSpPr>
      <xdr:spPr>
        <a:xfrm>
          <a:off x="5173980" y="729615"/>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6</xdr:col>
      <xdr:colOff>19050</xdr:colOff>
      <xdr:row>2</xdr:row>
      <xdr:rowOff>40005</xdr:rowOff>
    </xdr:from>
    <xdr:ext cx="262636" cy="280205"/>
    <xdr:sp macro="" textlink="">
      <xdr:nvSpPr>
        <xdr:cNvPr id="47" name="TextBox 46">
          <a:extLst>
            <a:ext uri="{FF2B5EF4-FFF2-40B4-BE49-F238E27FC236}">
              <a16:creationId xmlns:a16="http://schemas.microsoft.com/office/drawing/2014/main" id="{8A9CE3F3-AEBE-4D40-A566-89FAD3F389F5}"/>
            </a:ext>
          </a:extLst>
        </xdr:cNvPr>
        <xdr:cNvSpPr txBox="1"/>
      </xdr:nvSpPr>
      <xdr:spPr>
        <a:xfrm>
          <a:off x="5495925" y="401955"/>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9</xdr:col>
      <xdr:colOff>19050</xdr:colOff>
      <xdr:row>27</xdr:row>
      <xdr:rowOff>19050</xdr:rowOff>
    </xdr:from>
    <xdr:ext cx="419410" cy="280205"/>
    <xdr:sp macro="" textlink="">
      <xdr:nvSpPr>
        <xdr:cNvPr id="49" name="TextBox 48">
          <a:extLst>
            <a:ext uri="{FF2B5EF4-FFF2-40B4-BE49-F238E27FC236}">
              <a16:creationId xmlns:a16="http://schemas.microsoft.com/office/drawing/2014/main" id="{A3F7035D-0830-4DD3-BB7A-9DB28B66C476}"/>
            </a:ext>
          </a:extLst>
        </xdr:cNvPr>
        <xdr:cNvSpPr txBox="1"/>
      </xdr:nvSpPr>
      <xdr:spPr>
        <a:xfrm>
          <a:off x="7715250" y="4905375"/>
          <a:ext cx="4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a:t>
          </a:r>
        </a:p>
      </xdr:txBody>
    </xdr:sp>
    <xdr:clientData/>
  </xdr:oneCellAnchor>
  <xdr:oneCellAnchor>
    <xdr:from>
      <xdr:col>9</xdr:col>
      <xdr:colOff>24765</xdr:colOff>
      <xdr:row>18</xdr:row>
      <xdr:rowOff>78105</xdr:rowOff>
    </xdr:from>
    <xdr:ext cx="262636" cy="280205"/>
    <xdr:sp macro="" textlink="">
      <xdr:nvSpPr>
        <xdr:cNvPr id="50" name="TextBox 49">
          <a:extLst>
            <a:ext uri="{FF2B5EF4-FFF2-40B4-BE49-F238E27FC236}">
              <a16:creationId xmlns:a16="http://schemas.microsoft.com/office/drawing/2014/main" id="{5975FC94-D9D6-4336-A232-1952428F4A3D}"/>
            </a:ext>
          </a:extLst>
        </xdr:cNvPr>
        <xdr:cNvSpPr txBox="1"/>
      </xdr:nvSpPr>
      <xdr:spPr>
        <a:xfrm>
          <a:off x="7720965" y="3335655"/>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9</xdr:col>
      <xdr:colOff>17145</xdr:colOff>
      <xdr:row>14</xdr:row>
      <xdr:rowOff>9525</xdr:rowOff>
    </xdr:from>
    <xdr:ext cx="419410" cy="280205"/>
    <xdr:sp macro="" textlink="">
      <xdr:nvSpPr>
        <xdr:cNvPr id="51" name="TextBox 50">
          <a:extLst>
            <a:ext uri="{FF2B5EF4-FFF2-40B4-BE49-F238E27FC236}">
              <a16:creationId xmlns:a16="http://schemas.microsoft.com/office/drawing/2014/main" id="{358461B7-BAD3-4275-8E27-642FCA37F6BE}"/>
            </a:ext>
          </a:extLst>
        </xdr:cNvPr>
        <xdr:cNvSpPr txBox="1"/>
      </xdr:nvSpPr>
      <xdr:spPr>
        <a:xfrm>
          <a:off x="7713345" y="2543175"/>
          <a:ext cx="4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a:t>
          </a:r>
        </a:p>
      </xdr:txBody>
    </xdr:sp>
    <xdr:clientData/>
  </xdr:oneCellAnchor>
  <xdr:oneCellAnchor>
    <xdr:from>
      <xdr:col>5</xdr:col>
      <xdr:colOff>5715</xdr:colOff>
      <xdr:row>13</xdr:row>
      <xdr:rowOff>83820</xdr:rowOff>
    </xdr:from>
    <xdr:ext cx="262636" cy="280205"/>
    <xdr:sp macro="" textlink="">
      <xdr:nvSpPr>
        <xdr:cNvPr id="52" name="TextBox 51">
          <a:extLst>
            <a:ext uri="{FF2B5EF4-FFF2-40B4-BE49-F238E27FC236}">
              <a16:creationId xmlns:a16="http://schemas.microsoft.com/office/drawing/2014/main" id="{FE75625D-33FA-4416-9E57-26D1B65118CD}"/>
            </a:ext>
          </a:extLst>
        </xdr:cNvPr>
        <xdr:cNvSpPr txBox="1"/>
      </xdr:nvSpPr>
      <xdr:spPr>
        <a:xfrm>
          <a:off x="5158740" y="2436495"/>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6</xdr:col>
      <xdr:colOff>55245</xdr:colOff>
      <xdr:row>9</xdr:row>
      <xdr:rowOff>17145</xdr:rowOff>
    </xdr:from>
    <xdr:ext cx="262636" cy="280205"/>
    <xdr:sp macro="" textlink="">
      <xdr:nvSpPr>
        <xdr:cNvPr id="53" name="TextBox 52">
          <a:extLst>
            <a:ext uri="{FF2B5EF4-FFF2-40B4-BE49-F238E27FC236}">
              <a16:creationId xmlns:a16="http://schemas.microsoft.com/office/drawing/2014/main" id="{98C121A6-B994-4F3B-BF1F-6C1AA061DA4D}"/>
            </a:ext>
          </a:extLst>
        </xdr:cNvPr>
        <xdr:cNvSpPr txBox="1"/>
      </xdr:nvSpPr>
      <xdr:spPr>
        <a:xfrm>
          <a:off x="5532120" y="1645920"/>
          <a:ext cx="262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1</a:t>
          </a:r>
        </a:p>
      </xdr:txBody>
    </xdr:sp>
    <xdr:clientData/>
  </xdr:oneCellAnchor>
  <xdr:oneCellAnchor>
    <xdr:from>
      <xdr:col>4</xdr:col>
      <xdr:colOff>0</xdr:colOff>
      <xdr:row>8</xdr:row>
      <xdr:rowOff>7620</xdr:rowOff>
    </xdr:from>
    <xdr:ext cx="420756" cy="280205"/>
    <xdr:sp macro="" textlink="">
      <xdr:nvSpPr>
        <xdr:cNvPr id="61" name="TextBox 60">
          <a:extLst>
            <a:ext uri="{FF2B5EF4-FFF2-40B4-BE49-F238E27FC236}">
              <a16:creationId xmlns:a16="http://schemas.microsoft.com/office/drawing/2014/main" id="{F17A24CA-5689-4260-97C6-6B6C47B7E0D3}"/>
            </a:ext>
          </a:extLst>
        </xdr:cNvPr>
        <xdr:cNvSpPr txBox="1"/>
      </xdr:nvSpPr>
      <xdr:spPr>
        <a:xfrm>
          <a:off x="3228975" y="1455420"/>
          <a:ext cx="42075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2..3</a:t>
          </a:r>
        </a:p>
      </xdr:txBody>
    </xdr:sp>
    <xdr:clientData/>
  </xdr:oneCellAnchor>
  <xdr:oneCellAnchor>
    <xdr:from>
      <xdr:col>4</xdr:col>
      <xdr:colOff>9525</xdr:colOff>
      <xdr:row>9</xdr:row>
      <xdr:rowOff>95250</xdr:rowOff>
    </xdr:from>
    <xdr:ext cx="419410" cy="280205"/>
    <xdr:sp macro="" textlink="">
      <xdr:nvSpPr>
        <xdr:cNvPr id="63" name="TextBox 62">
          <a:extLst>
            <a:ext uri="{FF2B5EF4-FFF2-40B4-BE49-F238E27FC236}">
              <a16:creationId xmlns:a16="http://schemas.microsoft.com/office/drawing/2014/main" id="{236B96D0-DB44-4B0E-A323-3BAA68352F98}"/>
            </a:ext>
          </a:extLst>
        </xdr:cNvPr>
        <xdr:cNvSpPr txBox="1"/>
      </xdr:nvSpPr>
      <xdr:spPr>
        <a:xfrm>
          <a:off x="3238500" y="1724025"/>
          <a:ext cx="4194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0..*</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590971</xdr:colOff>
      <xdr:row>14</xdr:row>
      <xdr:rowOff>97367</xdr:rowOff>
    </xdr:to>
    <xdr:pic>
      <xdr:nvPicPr>
        <xdr:cNvPr id="2" name="Picture 1">
          <a:extLst>
            <a:ext uri="{FF2B5EF4-FFF2-40B4-BE49-F238E27FC236}">
              <a16:creationId xmlns:a16="http://schemas.microsoft.com/office/drawing/2014/main" id="{E9D35B49-462E-71F5-1EBF-44B9B5663967}"/>
            </a:ext>
          </a:extLst>
        </xdr:cNvPr>
        <xdr:cNvPicPr>
          <a:picLocks noChangeAspect="1"/>
        </xdr:cNvPicPr>
      </xdr:nvPicPr>
      <xdr:blipFill>
        <a:blip xmlns:r="http://schemas.openxmlformats.org/officeDocument/2006/relationships" r:embed="rId1"/>
        <a:stretch>
          <a:fillRect/>
        </a:stretch>
      </xdr:blipFill>
      <xdr:spPr>
        <a:xfrm>
          <a:off x="609600" y="180975"/>
          <a:ext cx="4861981" cy="24462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589447</xdr:colOff>
      <xdr:row>14</xdr:row>
      <xdr:rowOff>95843</xdr:rowOff>
    </xdr:to>
    <xdr:pic>
      <xdr:nvPicPr>
        <xdr:cNvPr id="2" name="Picture 1">
          <a:extLst>
            <a:ext uri="{FF2B5EF4-FFF2-40B4-BE49-F238E27FC236}">
              <a16:creationId xmlns:a16="http://schemas.microsoft.com/office/drawing/2014/main" id="{30FD5773-232E-7682-9EF8-D183F3FCD98B}"/>
            </a:ext>
          </a:extLst>
        </xdr:cNvPr>
        <xdr:cNvPicPr>
          <a:picLocks noChangeAspect="1"/>
        </xdr:cNvPicPr>
      </xdr:nvPicPr>
      <xdr:blipFill>
        <a:blip xmlns:r="http://schemas.openxmlformats.org/officeDocument/2006/relationships" r:embed="rId1"/>
        <a:stretch>
          <a:fillRect/>
        </a:stretch>
      </xdr:blipFill>
      <xdr:spPr>
        <a:xfrm>
          <a:off x="609600" y="180975"/>
          <a:ext cx="4852837" cy="24447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A291-48A5-4A79-906D-78E5ACDDD444}">
  <sheetPr>
    <tabColor rgb="FF002060"/>
  </sheetPr>
  <dimension ref="D6:M43"/>
  <sheetViews>
    <sheetView topLeftCell="A10" workbookViewId="0">
      <selection activeCell="G33" sqref="G33"/>
    </sheetView>
  </sheetViews>
  <sheetFormatPr defaultRowHeight="14.4" x14ac:dyDescent="0.3"/>
  <sheetData>
    <row r="6" spans="4:13" x14ac:dyDescent="0.3">
      <c r="E6" s="19"/>
      <c r="F6" s="19"/>
      <c r="G6" s="19"/>
      <c r="H6" s="19"/>
      <c r="I6" s="19"/>
      <c r="J6" s="19"/>
      <c r="K6" s="19"/>
    </row>
    <row r="7" spans="4:13" x14ac:dyDescent="0.3">
      <c r="D7" s="4" t="s">
        <v>247</v>
      </c>
      <c r="E7" s="19"/>
      <c r="F7" s="19"/>
      <c r="G7" s="19"/>
      <c r="H7" s="19"/>
      <c r="I7" s="19"/>
      <c r="J7" s="19"/>
      <c r="K7" s="19"/>
      <c r="M7" s="4" t="s">
        <v>256</v>
      </c>
    </row>
    <row r="9" spans="4:13" x14ac:dyDescent="0.3">
      <c r="D9" s="4" t="s">
        <v>257</v>
      </c>
    </row>
    <row r="11" spans="4:13" x14ac:dyDescent="0.3">
      <c r="D11" s="4" t="s">
        <v>258</v>
      </c>
    </row>
    <row r="13" spans="4:13" x14ac:dyDescent="0.3">
      <c r="D13" s="4" t="s">
        <v>259</v>
      </c>
    </row>
    <row r="15" spans="4:13" x14ac:dyDescent="0.3">
      <c r="D15" s="4" t="s">
        <v>260</v>
      </c>
    </row>
    <row r="17" spans="4:4" x14ac:dyDescent="0.3">
      <c r="D17" s="4" t="s">
        <v>268</v>
      </c>
    </row>
    <row r="19" spans="4:4" x14ac:dyDescent="0.3">
      <c r="D19" s="4" t="s">
        <v>266</v>
      </c>
    </row>
    <row r="21" spans="4:4" x14ac:dyDescent="0.3">
      <c r="D21" s="4" t="s">
        <v>428</v>
      </c>
    </row>
    <row r="23" spans="4:4" x14ac:dyDescent="0.3">
      <c r="D23" s="4" t="s">
        <v>267</v>
      </c>
    </row>
    <row r="25" spans="4:4" x14ac:dyDescent="0.3">
      <c r="D25" s="4" t="s">
        <v>451</v>
      </c>
    </row>
    <row r="27" spans="4:4" x14ac:dyDescent="0.3">
      <c r="D27" s="4" t="s">
        <v>455</v>
      </c>
    </row>
    <row r="29" spans="4:4" x14ac:dyDescent="0.3">
      <c r="D29" s="4" t="s">
        <v>456</v>
      </c>
    </row>
    <row r="31" spans="4:4" x14ac:dyDescent="0.3">
      <c r="D31" s="2" t="s">
        <v>445</v>
      </c>
    </row>
    <row r="33" spans="4:4" x14ac:dyDescent="0.3">
      <c r="D33" s="2" t="s">
        <v>446</v>
      </c>
    </row>
    <row r="35" spans="4:4" x14ac:dyDescent="0.3">
      <c r="D35" s="4" t="s">
        <v>447</v>
      </c>
    </row>
    <row r="37" spans="4:4" x14ac:dyDescent="0.3">
      <c r="D37" s="4" t="s">
        <v>448</v>
      </c>
    </row>
    <row r="39" spans="4:4" x14ac:dyDescent="0.3">
      <c r="D39" s="4" t="s">
        <v>452</v>
      </c>
    </row>
    <row r="41" spans="4:4" x14ac:dyDescent="0.3">
      <c r="D41" s="4" t="s">
        <v>449</v>
      </c>
    </row>
    <row r="43" spans="4:4" x14ac:dyDescent="0.3">
      <c r="D43" t="s">
        <v>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7B0EA-4F6F-4C28-9AEE-76CBBAE375DA}">
  <sheetPr>
    <tabColor rgb="FF00B050"/>
  </sheetPr>
  <dimension ref="C23:S74"/>
  <sheetViews>
    <sheetView zoomScaleNormal="100" workbookViewId="0">
      <selection activeCell="K34" sqref="K34"/>
    </sheetView>
  </sheetViews>
  <sheetFormatPr defaultRowHeight="14.4" x14ac:dyDescent="0.3"/>
  <sheetData>
    <row r="23" spans="3:16" x14ac:dyDescent="0.3">
      <c r="F23" s="6"/>
      <c r="G23" s="7" t="s">
        <v>31</v>
      </c>
      <c r="H23" s="6"/>
    </row>
    <row r="25" spans="3:16" x14ac:dyDescent="0.3">
      <c r="C25" s="1" t="s">
        <v>0</v>
      </c>
      <c r="P25" s="3" t="s">
        <v>47</v>
      </c>
    </row>
    <row r="26" spans="3:16" x14ac:dyDescent="0.3">
      <c r="C26" t="s">
        <v>37</v>
      </c>
      <c r="P26" s="4" t="s">
        <v>3</v>
      </c>
    </row>
    <row r="27" spans="3:16" x14ac:dyDescent="0.3">
      <c r="C27" t="s">
        <v>1</v>
      </c>
      <c r="P27" s="4" t="s">
        <v>32</v>
      </c>
    </row>
    <row r="28" spans="3:16" x14ac:dyDescent="0.3">
      <c r="C28" t="s">
        <v>2</v>
      </c>
      <c r="F28" t="s">
        <v>20</v>
      </c>
      <c r="P28" s="4" t="s">
        <v>4</v>
      </c>
    </row>
    <row r="29" spans="3:16" x14ac:dyDescent="0.3">
      <c r="C29" t="s">
        <v>10</v>
      </c>
      <c r="F29" t="s">
        <v>18</v>
      </c>
      <c r="P29" t="s">
        <v>5</v>
      </c>
    </row>
    <row r="30" spans="3:16" x14ac:dyDescent="0.3">
      <c r="C30" t="s">
        <v>21</v>
      </c>
      <c r="F30" t="s">
        <v>22</v>
      </c>
      <c r="P30" s="4" t="s">
        <v>11</v>
      </c>
    </row>
    <row r="31" spans="3:16" x14ac:dyDescent="0.3">
      <c r="C31" s="8" t="s">
        <v>48</v>
      </c>
      <c r="D31" s="8"/>
      <c r="E31" s="8"/>
      <c r="F31" s="8" t="s">
        <v>49</v>
      </c>
      <c r="P31" s="2" t="s">
        <v>42</v>
      </c>
    </row>
    <row r="32" spans="3:16" x14ac:dyDescent="0.3">
      <c r="P32" s="2" t="s">
        <v>45</v>
      </c>
    </row>
    <row r="33" spans="3:19" x14ac:dyDescent="0.3">
      <c r="Q33" s="5" t="s">
        <v>46</v>
      </c>
    </row>
    <row r="34" spans="3:19" x14ac:dyDescent="0.3">
      <c r="C34" s="1" t="s">
        <v>56</v>
      </c>
      <c r="P34" s="4" t="s">
        <v>77</v>
      </c>
    </row>
    <row r="35" spans="3:19" x14ac:dyDescent="0.3">
      <c r="C35" t="s">
        <v>53</v>
      </c>
      <c r="F35" t="s">
        <v>54</v>
      </c>
    </row>
    <row r="36" spans="3:19" x14ac:dyDescent="0.3">
      <c r="C36" t="s">
        <v>39</v>
      </c>
    </row>
    <row r="37" spans="3:19" x14ac:dyDescent="0.3">
      <c r="C37" t="s">
        <v>40</v>
      </c>
    </row>
    <row r="38" spans="3:19" x14ac:dyDescent="0.3">
      <c r="C38" t="s">
        <v>52</v>
      </c>
      <c r="F38" t="s">
        <v>19</v>
      </c>
    </row>
    <row r="41" spans="3:19" x14ac:dyDescent="0.3">
      <c r="C41" s="1" t="s">
        <v>6</v>
      </c>
      <c r="S41" s="3" t="s">
        <v>43</v>
      </c>
    </row>
    <row r="42" spans="3:19" x14ac:dyDescent="0.3">
      <c r="C42" t="s">
        <v>78</v>
      </c>
      <c r="G42" t="s">
        <v>79</v>
      </c>
    </row>
    <row r="43" spans="3:19" x14ac:dyDescent="0.3">
      <c r="C43" t="s">
        <v>27</v>
      </c>
      <c r="G43" t="s">
        <v>26</v>
      </c>
    </row>
    <row r="44" spans="3:19" x14ac:dyDescent="0.3">
      <c r="C44" t="s">
        <v>30</v>
      </c>
      <c r="G44" t="s">
        <v>26</v>
      </c>
    </row>
    <row r="45" spans="3:19" x14ac:dyDescent="0.3">
      <c r="C45" t="s">
        <v>62</v>
      </c>
      <c r="G45" t="s">
        <v>63</v>
      </c>
    </row>
    <row r="46" spans="3:19" x14ac:dyDescent="0.3">
      <c r="C46" t="s">
        <v>12</v>
      </c>
      <c r="G46" t="s">
        <v>72</v>
      </c>
    </row>
    <row r="47" spans="3:19" x14ac:dyDescent="0.3">
      <c r="C47" s="8" t="s">
        <v>14</v>
      </c>
      <c r="D47" s="8"/>
      <c r="E47" s="8"/>
      <c r="F47" s="8"/>
      <c r="G47" s="8" t="s">
        <v>17</v>
      </c>
    </row>
    <row r="48" spans="3:19" x14ac:dyDescent="0.3">
      <c r="C48" t="s">
        <v>66</v>
      </c>
      <c r="G48" t="s">
        <v>41</v>
      </c>
    </row>
    <row r="49" spans="3:12" x14ac:dyDescent="0.3">
      <c r="C49" t="s">
        <v>13</v>
      </c>
      <c r="G49" t="s">
        <v>16</v>
      </c>
    </row>
    <row r="50" spans="3:12" x14ac:dyDescent="0.3">
      <c r="C50" s="8" t="s">
        <v>15</v>
      </c>
      <c r="D50" s="8"/>
      <c r="E50" s="8"/>
      <c r="F50" s="8"/>
      <c r="G50" s="8" t="s">
        <v>17</v>
      </c>
    </row>
    <row r="51" spans="3:12" x14ac:dyDescent="0.3">
      <c r="C51" t="s">
        <v>65</v>
      </c>
      <c r="G51" t="s">
        <v>28</v>
      </c>
    </row>
    <row r="52" spans="3:12" x14ac:dyDescent="0.3">
      <c r="C52" t="s">
        <v>7</v>
      </c>
      <c r="G52" t="s">
        <v>64</v>
      </c>
    </row>
    <row r="53" spans="3:12" x14ac:dyDescent="0.3">
      <c r="C53" t="s">
        <v>70</v>
      </c>
      <c r="G53" t="s">
        <v>71</v>
      </c>
    </row>
    <row r="54" spans="3:12" x14ac:dyDescent="0.3">
      <c r="C54" t="s">
        <v>8</v>
      </c>
      <c r="G54" t="s">
        <v>26</v>
      </c>
    </row>
    <row r="55" spans="3:12" x14ac:dyDescent="0.3">
      <c r="C55" t="s">
        <v>33</v>
      </c>
      <c r="G55" t="s">
        <v>76</v>
      </c>
    </row>
    <row r="56" spans="3:12" x14ac:dyDescent="0.3">
      <c r="C56" t="s">
        <v>74</v>
      </c>
      <c r="G56" t="s">
        <v>73</v>
      </c>
    </row>
    <row r="57" spans="3:12" x14ac:dyDescent="0.3">
      <c r="C57" t="s">
        <v>9</v>
      </c>
      <c r="G57" t="s">
        <v>75</v>
      </c>
    </row>
    <row r="60" spans="3:12" x14ac:dyDescent="0.3">
      <c r="C60" s="1" t="s">
        <v>25</v>
      </c>
    </row>
    <row r="61" spans="3:12" x14ac:dyDescent="0.3">
      <c r="C61" t="s">
        <v>27</v>
      </c>
    </row>
    <row r="62" spans="3:12" x14ac:dyDescent="0.3">
      <c r="C62" t="s">
        <v>57</v>
      </c>
      <c r="F62" t="s">
        <v>55</v>
      </c>
      <c r="K62" t="s">
        <v>68</v>
      </c>
      <c r="L62" t="s">
        <v>67</v>
      </c>
    </row>
    <row r="63" spans="3:12" x14ac:dyDescent="0.3">
      <c r="C63" t="s">
        <v>58</v>
      </c>
      <c r="F63" t="s">
        <v>55</v>
      </c>
    </row>
    <row r="64" spans="3:12" x14ac:dyDescent="0.3">
      <c r="C64" t="s">
        <v>69</v>
      </c>
      <c r="F64" t="s">
        <v>29</v>
      </c>
    </row>
    <row r="65" spans="3:6" x14ac:dyDescent="0.3">
      <c r="C65" t="s">
        <v>23</v>
      </c>
      <c r="F65" t="s">
        <v>24</v>
      </c>
    </row>
    <row r="66" spans="3:6" x14ac:dyDescent="0.3">
      <c r="C66" t="s">
        <v>61</v>
      </c>
      <c r="F66" t="s">
        <v>18</v>
      </c>
    </row>
    <row r="69" spans="3:6" x14ac:dyDescent="0.3">
      <c r="C69" s="1" t="s">
        <v>34</v>
      </c>
      <c r="F69" t="s">
        <v>81</v>
      </c>
    </row>
    <row r="70" spans="3:6" x14ac:dyDescent="0.3">
      <c r="C70" t="s">
        <v>38</v>
      </c>
      <c r="F70" t="s">
        <v>80</v>
      </c>
    </row>
    <row r="71" spans="3:6" x14ac:dyDescent="0.3">
      <c r="C71" t="s">
        <v>35</v>
      </c>
      <c r="F71" t="s">
        <v>18</v>
      </c>
    </row>
    <row r="72" spans="3:6" x14ac:dyDescent="0.3">
      <c r="C72" t="s">
        <v>59</v>
      </c>
      <c r="F72" t="s">
        <v>60</v>
      </c>
    </row>
    <row r="73" spans="3:6" x14ac:dyDescent="0.3">
      <c r="C73" s="8" t="s">
        <v>44</v>
      </c>
      <c r="D73" s="8"/>
      <c r="E73" s="8"/>
      <c r="F73" s="8" t="s">
        <v>36</v>
      </c>
    </row>
    <row r="74" spans="3:6" x14ac:dyDescent="0.3">
      <c r="C74" s="8" t="s">
        <v>50</v>
      </c>
      <c r="D74" s="8"/>
      <c r="E74" s="8"/>
      <c r="F74" s="8" t="s">
        <v>51</v>
      </c>
    </row>
  </sheetData>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11E6E-73C7-44AE-B0C5-9F8051D6003B}">
  <sheetPr>
    <tabColor rgb="FF00B050"/>
  </sheetPr>
  <dimension ref="A1"/>
  <sheetViews>
    <sheetView zoomScale="60" zoomScaleNormal="60" workbookViewId="0">
      <selection activeCell="AI41" sqref="AI4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C1F4-5E0E-4379-B31E-0779E2E0F874}">
  <sheetPr>
    <tabColor rgb="FF00B050"/>
  </sheetPr>
  <dimension ref="C2:N42"/>
  <sheetViews>
    <sheetView showGridLines="0" zoomScaleNormal="100" workbookViewId="0">
      <selection activeCell="L12" sqref="L12"/>
    </sheetView>
  </sheetViews>
  <sheetFormatPr defaultRowHeight="14.4" x14ac:dyDescent="0.3"/>
  <cols>
    <col min="3" max="3" width="10.77734375" customWidth="1"/>
    <col min="4" max="4" width="20.77734375" customWidth="1"/>
    <col min="5" max="5" width="40.77734375" customWidth="1"/>
    <col min="6" max="7" width="4.77734375" customWidth="1"/>
    <col min="8" max="8" width="10.77734375" customWidth="1"/>
    <col min="9" max="9" width="20.77734375" customWidth="1"/>
    <col min="10" max="10" width="40.77734375" customWidth="1"/>
    <col min="11" max="11" width="3.33203125" customWidth="1"/>
    <col min="13" max="15" width="8.88671875" customWidth="1"/>
  </cols>
  <sheetData>
    <row r="2" spans="3:14" x14ac:dyDescent="0.3">
      <c r="C2" s="49" t="s">
        <v>129</v>
      </c>
      <c r="D2" s="50"/>
      <c r="E2" s="51"/>
    </row>
    <row r="3" spans="3:14" x14ac:dyDescent="0.3">
      <c r="C3" s="9" t="s">
        <v>82</v>
      </c>
      <c r="D3" s="10" t="s">
        <v>115</v>
      </c>
      <c r="E3" s="9" t="s">
        <v>146</v>
      </c>
    </row>
    <row r="4" spans="3:14" x14ac:dyDescent="0.3">
      <c r="C4" s="16" t="s">
        <v>122</v>
      </c>
      <c r="D4" s="17" t="s">
        <v>114</v>
      </c>
      <c r="E4" s="11" t="s">
        <v>84</v>
      </c>
    </row>
    <row r="5" spans="3:14" x14ac:dyDescent="0.3">
      <c r="C5" s="12"/>
      <c r="D5" s="15" t="s">
        <v>92</v>
      </c>
      <c r="E5" s="12" t="s">
        <v>85</v>
      </c>
      <c r="H5" s="49" t="s">
        <v>124</v>
      </c>
      <c r="I5" s="50"/>
      <c r="J5" s="51"/>
    </row>
    <row r="6" spans="3:14" x14ac:dyDescent="0.3">
      <c r="C6" s="12"/>
      <c r="D6" s="19" t="s">
        <v>93</v>
      </c>
      <c r="E6" s="12" t="s">
        <v>85</v>
      </c>
      <c r="H6" s="11" t="s">
        <v>82</v>
      </c>
      <c r="I6" s="38" t="s">
        <v>106</v>
      </c>
      <c r="J6" s="11" t="s">
        <v>146</v>
      </c>
    </row>
    <row r="7" spans="3:14" x14ac:dyDescent="0.3">
      <c r="C7" s="12"/>
      <c r="D7" s="15" t="s">
        <v>94</v>
      </c>
      <c r="E7" s="12" t="s">
        <v>87</v>
      </c>
      <c r="H7" s="13" t="s">
        <v>120</v>
      </c>
      <c r="I7" s="13" t="s">
        <v>107</v>
      </c>
      <c r="J7" s="13" t="s">
        <v>443</v>
      </c>
    </row>
    <row r="8" spans="3:14" x14ac:dyDescent="0.3">
      <c r="C8" s="13"/>
      <c r="D8" s="13" t="s">
        <v>89</v>
      </c>
      <c r="E8" s="13" t="s">
        <v>87</v>
      </c>
      <c r="H8" s="11" t="s">
        <v>109</v>
      </c>
      <c r="I8" s="12" t="s">
        <v>105</v>
      </c>
      <c r="J8" s="12" t="s">
        <v>433</v>
      </c>
    </row>
    <row r="9" spans="3:14" x14ac:dyDescent="0.3">
      <c r="H9" s="12"/>
      <c r="I9" s="12" t="s">
        <v>108</v>
      </c>
      <c r="J9" s="12" t="s">
        <v>132</v>
      </c>
      <c r="N9" s="2"/>
    </row>
    <row r="10" spans="3:14" x14ac:dyDescent="0.3">
      <c r="H10" s="12"/>
      <c r="I10" s="12" t="s">
        <v>111</v>
      </c>
      <c r="J10" s="12" t="s">
        <v>434</v>
      </c>
      <c r="N10" s="2"/>
    </row>
    <row r="11" spans="3:14" x14ac:dyDescent="0.3">
      <c r="H11" s="12"/>
      <c r="I11" s="12" t="s">
        <v>103</v>
      </c>
      <c r="J11" s="12" t="s">
        <v>435</v>
      </c>
    </row>
    <row r="12" spans="3:14" x14ac:dyDescent="0.3">
      <c r="C12" s="49" t="s">
        <v>220</v>
      </c>
      <c r="D12" s="50"/>
      <c r="E12" s="51"/>
      <c r="H12" s="12" t="s">
        <v>109</v>
      </c>
      <c r="I12" s="12" t="s">
        <v>110</v>
      </c>
      <c r="J12" s="12" t="s">
        <v>436</v>
      </c>
    </row>
    <row r="13" spans="3:14" x14ac:dyDescent="0.3">
      <c r="C13" s="9" t="s">
        <v>82</v>
      </c>
      <c r="D13" s="10" t="s">
        <v>412</v>
      </c>
      <c r="E13" s="37" t="s">
        <v>146</v>
      </c>
      <c r="H13" s="12"/>
      <c r="I13" s="12" t="s">
        <v>194</v>
      </c>
      <c r="J13" s="12" t="s">
        <v>87</v>
      </c>
    </row>
    <row r="14" spans="3:14" x14ac:dyDescent="0.3">
      <c r="C14" s="11" t="s">
        <v>109</v>
      </c>
      <c r="D14" s="11" t="s">
        <v>141</v>
      </c>
      <c r="E14" s="11" t="s">
        <v>442</v>
      </c>
      <c r="H14" s="13"/>
      <c r="I14" s="13" t="s">
        <v>89</v>
      </c>
      <c r="J14" s="13" t="s">
        <v>87</v>
      </c>
    </row>
    <row r="15" spans="3:14" x14ac:dyDescent="0.3">
      <c r="C15" s="12" t="s">
        <v>109</v>
      </c>
      <c r="D15" s="12" t="s">
        <v>94</v>
      </c>
      <c r="E15" s="12" t="s">
        <v>440</v>
      </c>
    </row>
    <row r="16" spans="3:14" x14ac:dyDescent="0.3">
      <c r="C16" s="12" t="s">
        <v>109</v>
      </c>
      <c r="D16" s="12" t="s">
        <v>142</v>
      </c>
      <c r="E16" s="12" t="s">
        <v>440</v>
      </c>
    </row>
    <row r="17" spans="3:10" x14ac:dyDescent="0.3">
      <c r="C17" s="12" t="s">
        <v>109</v>
      </c>
      <c r="D17" s="12" t="s">
        <v>143</v>
      </c>
      <c r="E17" s="12" t="s">
        <v>441</v>
      </c>
    </row>
    <row r="18" spans="3:10" x14ac:dyDescent="0.3">
      <c r="C18" s="41"/>
      <c r="D18" s="41"/>
      <c r="E18" s="41"/>
    </row>
    <row r="20" spans="3:10" x14ac:dyDescent="0.3">
      <c r="C20" s="49" t="s">
        <v>157</v>
      </c>
      <c r="D20" s="50"/>
      <c r="E20" s="51"/>
    </row>
    <row r="21" spans="3:10" x14ac:dyDescent="0.3">
      <c r="C21" s="9" t="s">
        <v>82</v>
      </c>
      <c r="D21" s="10" t="s">
        <v>410</v>
      </c>
      <c r="E21" s="9" t="s">
        <v>146</v>
      </c>
      <c r="H21" s="49" t="s">
        <v>125</v>
      </c>
      <c r="I21" s="50"/>
      <c r="J21" s="51"/>
    </row>
    <row r="22" spans="3:10" x14ac:dyDescent="0.3">
      <c r="C22" s="11" t="s">
        <v>109</v>
      </c>
      <c r="D22" s="11" t="s">
        <v>139</v>
      </c>
      <c r="E22" s="11" t="s">
        <v>440</v>
      </c>
      <c r="H22" s="9" t="s">
        <v>82</v>
      </c>
      <c r="I22" s="10" t="s">
        <v>117</v>
      </c>
      <c r="J22" s="9" t="s">
        <v>146</v>
      </c>
    </row>
    <row r="23" spans="3:10" x14ac:dyDescent="0.3">
      <c r="C23" s="12" t="s">
        <v>109</v>
      </c>
      <c r="D23" s="12" t="s">
        <v>88</v>
      </c>
      <c r="E23" s="12" t="s">
        <v>439</v>
      </c>
      <c r="H23" s="12" t="s">
        <v>109</v>
      </c>
      <c r="I23" s="12" t="s">
        <v>112</v>
      </c>
      <c r="J23" s="12" t="s">
        <v>437</v>
      </c>
    </row>
    <row r="24" spans="3:10" x14ac:dyDescent="0.3">
      <c r="C24" s="13" t="s">
        <v>444</v>
      </c>
      <c r="D24" s="13" t="s">
        <v>409</v>
      </c>
      <c r="E24" s="13" t="s">
        <v>453</v>
      </c>
      <c r="H24" s="12" t="s">
        <v>109</v>
      </c>
      <c r="I24" s="12" t="s">
        <v>113</v>
      </c>
      <c r="J24" s="12" t="s">
        <v>437</v>
      </c>
    </row>
    <row r="25" spans="3:10" x14ac:dyDescent="0.3">
      <c r="H25" s="36" t="s">
        <v>444</v>
      </c>
      <c r="I25" s="12" t="s">
        <v>407</v>
      </c>
      <c r="J25" s="12" t="s">
        <v>454</v>
      </c>
    </row>
    <row r="26" spans="3:10" x14ac:dyDescent="0.3">
      <c r="C26" s="49" t="s">
        <v>128</v>
      </c>
      <c r="D26" s="50"/>
      <c r="E26" s="51"/>
      <c r="H26" s="12"/>
      <c r="I26" s="12" t="s">
        <v>102</v>
      </c>
      <c r="J26" s="12" t="s">
        <v>432</v>
      </c>
    </row>
    <row r="27" spans="3:10" x14ac:dyDescent="0.3">
      <c r="C27" s="13" t="s">
        <v>82</v>
      </c>
      <c r="D27" s="14" t="s">
        <v>116</v>
      </c>
      <c r="E27" s="9" t="s">
        <v>150</v>
      </c>
      <c r="H27" s="13"/>
      <c r="I27" s="13" t="s">
        <v>89</v>
      </c>
      <c r="J27" s="13" t="s">
        <v>87</v>
      </c>
    </row>
    <row r="28" spans="3:10" x14ac:dyDescent="0.3">
      <c r="C28" s="11" t="s">
        <v>120</v>
      </c>
      <c r="D28" s="11" t="s">
        <v>101</v>
      </c>
      <c r="E28" s="11" t="s">
        <v>84</v>
      </c>
    </row>
    <row r="29" spans="3:10" x14ac:dyDescent="0.3">
      <c r="C29" s="12" t="s">
        <v>109</v>
      </c>
      <c r="D29" s="15" t="s">
        <v>88</v>
      </c>
      <c r="E29" s="12" t="s">
        <v>439</v>
      </c>
    </row>
    <row r="30" spans="3:10" x14ac:dyDescent="0.3">
      <c r="C30" s="12"/>
      <c r="D30" s="15" t="s">
        <v>98</v>
      </c>
      <c r="E30" s="12" t="s">
        <v>132</v>
      </c>
    </row>
    <row r="31" spans="3:10" x14ac:dyDescent="0.3">
      <c r="C31" s="12"/>
      <c r="D31" s="15" t="s">
        <v>99</v>
      </c>
      <c r="E31" s="12" t="s">
        <v>84</v>
      </c>
    </row>
    <row r="32" spans="3:10" x14ac:dyDescent="0.3">
      <c r="C32" s="12" t="s">
        <v>109</v>
      </c>
      <c r="D32" s="12" t="s">
        <v>100</v>
      </c>
      <c r="E32" s="12" t="s">
        <v>438</v>
      </c>
      <c r="H32" s="49" t="s">
        <v>126</v>
      </c>
      <c r="I32" s="50"/>
      <c r="J32" s="51"/>
    </row>
    <row r="33" spans="3:10" x14ac:dyDescent="0.3">
      <c r="C33" s="13"/>
      <c r="D33" s="13" t="s">
        <v>89</v>
      </c>
      <c r="E33" s="13" t="s">
        <v>87</v>
      </c>
      <c r="H33" s="9" t="s">
        <v>82</v>
      </c>
      <c r="I33" s="10" t="s">
        <v>118</v>
      </c>
      <c r="J33" s="9" t="s">
        <v>147</v>
      </c>
    </row>
    <row r="34" spans="3:10" x14ac:dyDescent="0.3">
      <c r="H34" s="11"/>
      <c r="I34" s="17" t="s">
        <v>90</v>
      </c>
      <c r="J34" s="11" t="s">
        <v>85</v>
      </c>
    </row>
    <row r="35" spans="3:10" x14ac:dyDescent="0.3">
      <c r="H35" s="13"/>
      <c r="I35" s="18" t="s">
        <v>91</v>
      </c>
      <c r="J35" s="13" t="s">
        <v>85</v>
      </c>
    </row>
    <row r="37" spans="3:10" x14ac:dyDescent="0.3">
      <c r="C37" s="49" t="s">
        <v>127</v>
      </c>
      <c r="D37" s="50"/>
      <c r="E37" s="51"/>
    </row>
    <row r="38" spans="3:10" x14ac:dyDescent="0.3">
      <c r="C38" s="13" t="s">
        <v>82</v>
      </c>
      <c r="D38" s="14" t="s">
        <v>88</v>
      </c>
      <c r="E38" s="9" t="s">
        <v>148</v>
      </c>
    </row>
    <row r="39" spans="3:10" x14ac:dyDescent="0.3">
      <c r="C39" s="11"/>
      <c r="D39" s="17" t="s">
        <v>95</v>
      </c>
      <c r="E39" s="11" t="s">
        <v>85</v>
      </c>
    </row>
    <row r="40" spans="3:10" x14ac:dyDescent="0.3">
      <c r="C40" s="12" t="s">
        <v>120</v>
      </c>
      <c r="D40" s="15" t="s">
        <v>97</v>
      </c>
      <c r="E40" s="12" t="s">
        <v>149</v>
      </c>
    </row>
    <row r="41" spans="3:10" x14ac:dyDescent="0.3">
      <c r="C41" s="12"/>
      <c r="D41" s="15" t="s">
        <v>96</v>
      </c>
      <c r="E41" s="12" t="s">
        <v>84</v>
      </c>
    </row>
    <row r="42" spans="3:10" x14ac:dyDescent="0.3">
      <c r="C42" s="13"/>
      <c r="D42" s="18" t="s">
        <v>111</v>
      </c>
      <c r="E42" s="13" t="s">
        <v>87</v>
      </c>
      <c r="H42" s="20" t="s">
        <v>121</v>
      </c>
    </row>
  </sheetData>
  <mergeCells count="8">
    <mergeCell ref="C2:E2"/>
    <mergeCell ref="H21:J21"/>
    <mergeCell ref="C12:E12"/>
    <mergeCell ref="C37:E37"/>
    <mergeCell ref="H32:J32"/>
    <mergeCell ref="C20:E20"/>
    <mergeCell ref="C26:E26"/>
    <mergeCell ref="H5:J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E69A-B881-4F31-B2F2-DE74FCB8EB27}">
  <sheetPr>
    <tabColor rgb="FF00B050"/>
  </sheetPr>
  <dimension ref="C2:G83"/>
  <sheetViews>
    <sheetView topLeftCell="A58" workbookViewId="0">
      <pane xSplit="5" topLeftCell="F1" activePane="topRight" state="frozen"/>
      <selection pane="topRight" activeCell="G69" sqref="G69"/>
    </sheetView>
  </sheetViews>
  <sheetFormatPr defaultRowHeight="14.4" x14ac:dyDescent="0.3"/>
  <cols>
    <col min="3" max="3" width="9.33203125" customWidth="1"/>
    <col min="4" max="4" width="14" bestFit="1" customWidth="1"/>
    <col min="5" max="5" width="46.33203125" bestFit="1" customWidth="1"/>
  </cols>
  <sheetData>
    <row r="2" spans="3:7" x14ac:dyDescent="0.3">
      <c r="C2" s="2"/>
    </row>
    <row r="4" spans="3:7" x14ac:dyDescent="0.3">
      <c r="G4" s="21" t="s">
        <v>123</v>
      </c>
    </row>
    <row r="6" spans="3:7" x14ac:dyDescent="0.3">
      <c r="C6" s="49" t="s">
        <v>127</v>
      </c>
      <c r="D6" s="50"/>
      <c r="E6" s="51"/>
      <c r="G6" s="4" t="s">
        <v>144</v>
      </c>
    </row>
    <row r="7" spans="3:7" x14ac:dyDescent="0.3">
      <c r="C7" s="13" t="s">
        <v>82</v>
      </c>
      <c r="D7" s="14" t="s">
        <v>88</v>
      </c>
      <c r="E7" s="9" t="s">
        <v>148</v>
      </c>
    </row>
    <row r="8" spans="3:7" x14ac:dyDescent="0.3">
      <c r="C8" s="11"/>
      <c r="D8" s="17" t="s">
        <v>95</v>
      </c>
      <c r="E8" s="11" t="s">
        <v>85</v>
      </c>
    </row>
    <row r="9" spans="3:7" x14ac:dyDescent="0.3">
      <c r="C9" s="12" t="s">
        <v>120</v>
      </c>
      <c r="D9" s="15" t="s">
        <v>97</v>
      </c>
      <c r="E9" s="12" t="s">
        <v>149</v>
      </c>
    </row>
    <row r="10" spans="3:7" x14ac:dyDescent="0.3">
      <c r="C10" s="12"/>
      <c r="D10" s="15" t="s">
        <v>96</v>
      </c>
      <c r="E10" s="12" t="s">
        <v>84</v>
      </c>
    </row>
    <row r="11" spans="3:7" x14ac:dyDescent="0.3">
      <c r="C11" s="13"/>
      <c r="D11" s="18" t="s">
        <v>111</v>
      </c>
      <c r="E11" s="13" t="s">
        <v>87</v>
      </c>
    </row>
    <row r="14" spans="3:7" x14ac:dyDescent="0.3">
      <c r="C14" s="49" t="s">
        <v>126</v>
      </c>
      <c r="D14" s="50"/>
      <c r="E14" s="51"/>
      <c r="G14" s="4" t="s">
        <v>145</v>
      </c>
    </row>
    <row r="15" spans="3:7" x14ac:dyDescent="0.3">
      <c r="C15" s="9" t="s">
        <v>82</v>
      </c>
      <c r="D15" s="10" t="s">
        <v>118</v>
      </c>
      <c r="E15" s="9" t="s">
        <v>147</v>
      </c>
    </row>
    <row r="16" spans="3:7" x14ac:dyDescent="0.3">
      <c r="C16" s="11"/>
      <c r="D16" s="17" t="s">
        <v>90</v>
      </c>
      <c r="E16" s="11" t="s">
        <v>85</v>
      </c>
    </row>
    <row r="17" spans="3:7" x14ac:dyDescent="0.3">
      <c r="C17" s="13"/>
      <c r="D17" s="18" t="s">
        <v>91</v>
      </c>
      <c r="E17" s="13" t="s">
        <v>85</v>
      </c>
    </row>
    <row r="20" spans="3:7" x14ac:dyDescent="0.3">
      <c r="C20" s="49" t="s">
        <v>129</v>
      </c>
      <c r="D20" s="50"/>
      <c r="E20" s="51"/>
      <c r="G20" s="4" t="s">
        <v>386</v>
      </c>
    </row>
    <row r="21" spans="3:7" x14ac:dyDescent="0.3">
      <c r="C21" s="9" t="s">
        <v>82</v>
      </c>
      <c r="D21" s="10" t="s">
        <v>115</v>
      </c>
      <c r="E21" s="9" t="s">
        <v>146</v>
      </c>
    </row>
    <row r="22" spans="3:7" x14ac:dyDescent="0.3">
      <c r="C22" s="16" t="s">
        <v>122</v>
      </c>
      <c r="D22" s="17" t="s">
        <v>114</v>
      </c>
      <c r="E22" s="11" t="s">
        <v>84</v>
      </c>
    </row>
    <row r="23" spans="3:7" x14ac:dyDescent="0.3">
      <c r="C23" s="12"/>
      <c r="D23" s="15" t="s">
        <v>92</v>
      </c>
      <c r="E23" s="12" t="s">
        <v>85</v>
      </c>
    </row>
    <row r="24" spans="3:7" x14ac:dyDescent="0.3">
      <c r="C24" s="12"/>
      <c r="D24" s="19" t="s">
        <v>93</v>
      </c>
      <c r="E24" s="12" t="s">
        <v>85</v>
      </c>
    </row>
    <row r="25" spans="3:7" x14ac:dyDescent="0.3">
      <c r="C25" s="12"/>
      <c r="D25" s="15" t="s">
        <v>94</v>
      </c>
      <c r="E25" s="12" t="s">
        <v>87</v>
      </c>
    </row>
    <row r="26" spans="3:7" x14ac:dyDescent="0.3">
      <c r="C26" s="13"/>
      <c r="D26" s="13" t="s">
        <v>89</v>
      </c>
      <c r="E26" s="13" t="s">
        <v>87</v>
      </c>
    </row>
    <row r="27" spans="3:7" x14ac:dyDescent="0.3">
      <c r="C27" s="20" t="s">
        <v>121</v>
      </c>
    </row>
    <row r="30" spans="3:7" x14ac:dyDescent="0.3">
      <c r="C30" s="49" t="s">
        <v>128</v>
      </c>
      <c r="D30" s="50"/>
      <c r="E30" s="51"/>
      <c r="G30" s="4" t="s">
        <v>156</v>
      </c>
    </row>
    <row r="31" spans="3:7" x14ac:dyDescent="0.3">
      <c r="C31" s="13" t="s">
        <v>82</v>
      </c>
      <c r="D31" s="14" t="s">
        <v>116</v>
      </c>
      <c r="E31" s="9" t="s">
        <v>150</v>
      </c>
    </row>
    <row r="32" spans="3:7" x14ac:dyDescent="0.3">
      <c r="C32" s="11" t="s">
        <v>120</v>
      </c>
      <c r="D32" s="11" t="s">
        <v>101</v>
      </c>
      <c r="E32" s="11" t="s">
        <v>84</v>
      </c>
    </row>
    <row r="33" spans="3:7" x14ac:dyDescent="0.3">
      <c r="C33" s="12" t="s">
        <v>109</v>
      </c>
      <c r="D33" s="15" t="s">
        <v>88</v>
      </c>
      <c r="E33" s="12" t="s">
        <v>155</v>
      </c>
    </row>
    <row r="34" spans="3:7" x14ac:dyDescent="0.3">
      <c r="C34" s="12"/>
      <c r="D34" s="15" t="s">
        <v>98</v>
      </c>
      <c r="E34" s="12" t="s">
        <v>132</v>
      </c>
    </row>
    <row r="35" spans="3:7" x14ac:dyDescent="0.3">
      <c r="C35" s="12"/>
      <c r="D35" s="15" t="s">
        <v>99</v>
      </c>
      <c r="E35" s="12" t="s">
        <v>84</v>
      </c>
    </row>
    <row r="36" spans="3:7" x14ac:dyDescent="0.3">
      <c r="C36" s="12" t="s">
        <v>109</v>
      </c>
      <c r="D36" s="12" t="s">
        <v>100</v>
      </c>
      <c r="E36" s="12" t="s">
        <v>154</v>
      </c>
    </row>
    <row r="37" spans="3:7" x14ac:dyDescent="0.3">
      <c r="C37" s="13"/>
      <c r="D37" s="13" t="s">
        <v>89</v>
      </c>
      <c r="E37" s="13" t="s">
        <v>87</v>
      </c>
    </row>
    <row r="40" spans="3:7" x14ac:dyDescent="0.3">
      <c r="C40" s="49" t="s">
        <v>125</v>
      </c>
      <c r="D40" s="50"/>
      <c r="E40" s="51"/>
      <c r="G40" s="4" t="s">
        <v>415</v>
      </c>
    </row>
    <row r="41" spans="3:7" x14ac:dyDescent="0.3">
      <c r="C41" s="9" t="s">
        <v>82</v>
      </c>
      <c r="D41" s="10" t="s">
        <v>117</v>
      </c>
      <c r="E41" s="9" t="s">
        <v>411</v>
      </c>
    </row>
    <row r="42" spans="3:7" x14ac:dyDescent="0.3">
      <c r="C42" s="12" t="s">
        <v>109</v>
      </c>
      <c r="D42" s="12" t="s">
        <v>112</v>
      </c>
      <c r="E42" s="12" t="s">
        <v>154</v>
      </c>
    </row>
    <row r="43" spans="3:7" x14ac:dyDescent="0.3">
      <c r="C43" s="12" t="s">
        <v>109</v>
      </c>
      <c r="D43" s="12" t="s">
        <v>113</v>
      </c>
      <c r="E43" s="12" t="s">
        <v>154</v>
      </c>
    </row>
    <row r="44" spans="3:7" x14ac:dyDescent="0.3">
      <c r="C44" s="36" t="s">
        <v>408</v>
      </c>
      <c r="D44" s="12" t="s">
        <v>407</v>
      </c>
      <c r="E44" s="12" t="s">
        <v>248</v>
      </c>
    </row>
    <row r="45" spans="3:7" x14ac:dyDescent="0.3">
      <c r="C45" s="12"/>
      <c r="D45" s="12" t="s">
        <v>102</v>
      </c>
      <c r="E45" s="12" t="s">
        <v>158</v>
      </c>
    </row>
    <row r="46" spans="3:7" x14ac:dyDescent="0.3">
      <c r="C46" s="13"/>
      <c r="D46" s="13" t="s">
        <v>89</v>
      </c>
      <c r="E46" s="13" t="s">
        <v>87</v>
      </c>
    </row>
    <row r="49" spans="3:7" x14ac:dyDescent="0.3">
      <c r="C49" s="49" t="s">
        <v>157</v>
      </c>
      <c r="D49" s="50"/>
      <c r="E49" s="51"/>
      <c r="G49" s="4" t="s">
        <v>416</v>
      </c>
    </row>
    <row r="50" spans="3:7" x14ac:dyDescent="0.3">
      <c r="C50" s="9" t="s">
        <v>82</v>
      </c>
      <c r="D50" s="10" t="s">
        <v>410</v>
      </c>
      <c r="E50" s="9" t="s">
        <v>411</v>
      </c>
    </row>
    <row r="51" spans="3:7" x14ac:dyDescent="0.3">
      <c r="C51" s="11" t="s">
        <v>109</v>
      </c>
      <c r="D51" s="11" t="s">
        <v>139</v>
      </c>
      <c r="E51" s="11" t="s">
        <v>152</v>
      </c>
    </row>
    <row r="52" spans="3:7" x14ac:dyDescent="0.3">
      <c r="C52" s="12" t="s">
        <v>109</v>
      </c>
      <c r="D52" s="12" t="s">
        <v>88</v>
      </c>
      <c r="E52" s="12" t="s">
        <v>155</v>
      </c>
    </row>
    <row r="53" spans="3:7" x14ac:dyDescent="0.3">
      <c r="C53" s="13" t="s">
        <v>408</v>
      </c>
      <c r="D53" s="13" t="s">
        <v>413</v>
      </c>
      <c r="E53" s="13" t="s">
        <v>140</v>
      </c>
    </row>
    <row r="57" spans="3:7" x14ac:dyDescent="0.3">
      <c r="C57" s="49" t="s">
        <v>124</v>
      </c>
      <c r="D57" s="50"/>
      <c r="E57" s="51"/>
      <c r="G57" s="31" t="s">
        <v>414</v>
      </c>
    </row>
    <row r="58" spans="3:7" x14ac:dyDescent="0.3">
      <c r="C58" s="11" t="s">
        <v>82</v>
      </c>
      <c r="D58" s="38" t="s">
        <v>106</v>
      </c>
      <c r="E58" s="11" t="s">
        <v>146</v>
      </c>
    </row>
    <row r="59" spans="3:7" x14ac:dyDescent="0.3">
      <c r="C59" s="13" t="s">
        <v>119</v>
      </c>
      <c r="D59" s="13" t="s">
        <v>107</v>
      </c>
      <c r="E59" s="13" t="s">
        <v>133</v>
      </c>
    </row>
    <row r="60" spans="3:7" x14ac:dyDescent="0.3">
      <c r="C60" s="12" t="s">
        <v>109</v>
      </c>
      <c r="D60" s="12" t="s">
        <v>105</v>
      </c>
      <c r="E60" s="12" t="s">
        <v>153</v>
      </c>
    </row>
    <row r="61" spans="3:7" x14ac:dyDescent="0.3">
      <c r="C61" s="12"/>
      <c r="D61" s="12" t="s">
        <v>108</v>
      </c>
      <c r="E61" s="12" t="s">
        <v>132</v>
      </c>
    </row>
    <row r="62" spans="3:7" x14ac:dyDescent="0.3">
      <c r="C62" s="12"/>
      <c r="D62" s="12" t="s">
        <v>111</v>
      </c>
      <c r="E62" s="12" t="s">
        <v>160</v>
      </c>
    </row>
    <row r="63" spans="3:7" x14ac:dyDescent="0.3">
      <c r="C63" s="12"/>
      <c r="D63" s="12" t="s">
        <v>103</v>
      </c>
      <c r="E63" s="12" t="s">
        <v>159</v>
      </c>
    </row>
    <row r="64" spans="3:7" x14ac:dyDescent="0.3">
      <c r="C64" s="12" t="s">
        <v>109</v>
      </c>
      <c r="D64" s="12" t="s">
        <v>110</v>
      </c>
      <c r="E64" s="12" t="s">
        <v>138</v>
      </c>
    </row>
    <row r="65" spans="3:7" x14ac:dyDescent="0.3">
      <c r="C65" s="12"/>
      <c r="D65" s="12" t="s">
        <v>194</v>
      </c>
      <c r="E65" s="12" t="s">
        <v>87</v>
      </c>
    </row>
    <row r="66" spans="3:7" x14ac:dyDescent="0.3">
      <c r="C66" s="13"/>
      <c r="D66" s="13" t="s">
        <v>89</v>
      </c>
      <c r="E66" s="13" t="s">
        <v>87</v>
      </c>
    </row>
    <row r="69" spans="3:7" x14ac:dyDescent="0.3">
      <c r="C69" s="52" t="s">
        <v>220</v>
      </c>
      <c r="D69" s="52"/>
      <c r="E69" s="52"/>
      <c r="G69" s="31" t="s">
        <v>427</v>
      </c>
    </row>
    <row r="70" spans="3:7" x14ac:dyDescent="0.3">
      <c r="C70" s="9" t="s">
        <v>82</v>
      </c>
      <c r="D70" s="10" t="s">
        <v>412</v>
      </c>
      <c r="E70" s="9" t="s">
        <v>411</v>
      </c>
    </row>
    <row r="71" spans="3:7" x14ac:dyDescent="0.3">
      <c r="C71" s="11" t="s">
        <v>109</v>
      </c>
      <c r="D71" s="11" t="s">
        <v>141</v>
      </c>
      <c r="E71" s="11" t="s">
        <v>151</v>
      </c>
    </row>
    <row r="72" spans="3:7" x14ac:dyDescent="0.3">
      <c r="C72" s="12" t="s">
        <v>109</v>
      </c>
      <c r="D72" s="12" t="s">
        <v>94</v>
      </c>
      <c r="E72" s="12" t="s">
        <v>152</v>
      </c>
    </row>
    <row r="73" spans="3:7" x14ac:dyDescent="0.3">
      <c r="C73" s="12" t="s">
        <v>109</v>
      </c>
      <c r="D73" s="12" t="s">
        <v>142</v>
      </c>
      <c r="E73" s="12" t="s">
        <v>152</v>
      </c>
    </row>
    <row r="74" spans="3:7" x14ac:dyDescent="0.3">
      <c r="C74" s="13" t="s">
        <v>109</v>
      </c>
      <c r="D74" s="13" t="s">
        <v>143</v>
      </c>
      <c r="E74" s="13" t="s">
        <v>131</v>
      </c>
    </row>
    <row r="75" spans="3:7" x14ac:dyDescent="0.3">
      <c r="C75" s="20"/>
    </row>
    <row r="76" spans="3:7" x14ac:dyDescent="0.3">
      <c r="C76" s="20"/>
    </row>
    <row r="77" spans="3:7" x14ac:dyDescent="0.3">
      <c r="C77" s="20"/>
    </row>
    <row r="83" spans="3:3" x14ac:dyDescent="0.3">
      <c r="C83" s="20"/>
    </row>
  </sheetData>
  <mergeCells count="8">
    <mergeCell ref="C69:E69"/>
    <mergeCell ref="C6:E6"/>
    <mergeCell ref="C14:E14"/>
    <mergeCell ref="C20:E20"/>
    <mergeCell ref="C30:E30"/>
    <mergeCell ref="C40:E40"/>
    <mergeCell ref="C57:E57"/>
    <mergeCell ref="C49:E4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EA51E-FA24-4B11-8611-15EDA564DE41}">
  <sheetPr>
    <tabColor rgb="FF00B050"/>
  </sheetPr>
  <dimension ref="C4:P125"/>
  <sheetViews>
    <sheetView topLeftCell="A52" workbookViewId="0">
      <selection activeCell="K92" sqref="K92"/>
    </sheetView>
  </sheetViews>
  <sheetFormatPr defaultRowHeight="14.4" x14ac:dyDescent="0.3"/>
  <cols>
    <col min="3" max="3" width="12.88671875" bestFit="1" customWidth="1"/>
    <col min="4" max="4" width="12.77734375" bestFit="1" customWidth="1"/>
    <col min="5" max="5" width="11.77734375" customWidth="1"/>
    <col min="6" max="6" width="17.77734375" customWidth="1"/>
    <col min="7" max="7" width="14.5546875" customWidth="1"/>
    <col min="8" max="8" width="18.109375" customWidth="1"/>
    <col min="14" max="14" width="15.33203125" bestFit="1" customWidth="1"/>
  </cols>
  <sheetData>
    <row r="4" spans="3:12" x14ac:dyDescent="0.3">
      <c r="C4" s="42" t="s">
        <v>127</v>
      </c>
      <c r="D4" s="42"/>
      <c r="E4" s="42"/>
      <c r="F4" s="42"/>
      <c r="G4" s="42"/>
    </row>
    <row r="5" spans="3:12" x14ac:dyDescent="0.3">
      <c r="C5" s="32" t="s">
        <v>88</v>
      </c>
      <c r="D5" s="32" t="s">
        <v>95</v>
      </c>
      <c r="E5" s="32" t="s">
        <v>97</v>
      </c>
      <c r="F5" s="32" t="s">
        <v>96</v>
      </c>
      <c r="G5" s="32" t="s">
        <v>111</v>
      </c>
      <c r="I5" t="str">
        <f>"('"&amp;C5&amp;"','"&amp;D5&amp;"','"&amp;E5&amp;"','"&amp;F5&amp;"','"&amp;G5&amp;"')"</f>
        <v>('type','manufacturer','model','capacity','longhaul')</v>
      </c>
    </row>
    <row r="6" spans="3:12" x14ac:dyDescent="0.3">
      <c r="C6" s="9" t="s">
        <v>276</v>
      </c>
      <c r="D6" s="9" t="s">
        <v>269</v>
      </c>
      <c r="E6" s="9" t="s">
        <v>275</v>
      </c>
      <c r="F6" s="9">
        <v>240</v>
      </c>
      <c r="G6" s="9" t="b">
        <v>0</v>
      </c>
      <c r="I6" s="4" t="str">
        <f t="shared" ref="I6:I8" si="0">"('"&amp;C6&amp;"','"&amp;D6&amp;"','"&amp;E6&amp;"','"&amp;F6&amp;"','"&amp;G6&amp;"')"</f>
        <v>('A20N','Airbus','A320neo','240','FALSE')</v>
      </c>
    </row>
    <row r="7" spans="3:12" x14ac:dyDescent="0.3">
      <c r="C7" s="9" t="s">
        <v>270</v>
      </c>
      <c r="D7" s="9" t="s">
        <v>271</v>
      </c>
      <c r="E7" s="9" t="s">
        <v>272</v>
      </c>
      <c r="F7" s="9">
        <v>120</v>
      </c>
      <c r="G7" s="9" t="b">
        <v>0</v>
      </c>
      <c r="I7" s="4" t="str">
        <f t="shared" si="0"/>
        <v>('B737','Boeing','737-700','120','FALSE')</v>
      </c>
    </row>
    <row r="8" spans="3:12" x14ac:dyDescent="0.3">
      <c r="C8" s="9" t="s">
        <v>274</v>
      </c>
      <c r="D8" s="9" t="s">
        <v>269</v>
      </c>
      <c r="E8" s="9" t="s">
        <v>273</v>
      </c>
      <c r="F8" s="9">
        <v>325</v>
      </c>
      <c r="G8" s="9" t="b">
        <v>1</v>
      </c>
      <c r="I8" s="4" t="str">
        <f t="shared" si="0"/>
        <v>('A359','Airbus','A350-900','325','TRUE')</v>
      </c>
    </row>
    <row r="11" spans="3:12" x14ac:dyDescent="0.3">
      <c r="C11" s="42" t="s">
        <v>128</v>
      </c>
      <c r="D11" s="42"/>
      <c r="E11" s="42"/>
      <c r="F11" s="42"/>
      <c r="G11" s="42"/>
      <c r="H11" s="42"/>
      <c r="I11" s="42"/>
    </row>
    <row r="12" spans="3:12" x14ac:dyDescent="0.3">
      <c r="C12" s="32" t="s">
        <v>116</v>
      </c>
      <c r="D12" s="32" t="s">
        <v>101</v>
      </c>
      <c r="E12" s="32" t="s">
        <v>88</v>
      </c>
      <c r="F12" s="32" t="s">
        <v>98</v>
      </c>
      <c r="G12" s="32" t="s">
        <v>99</v>
      </c>
      <c r="H12" s="32" t="s">
        <v>100</v>
      </c>
      <c r="I12" s="32" t="s">
        <v>89</v>
      </c>
      <c r="K12" t="str">
        <f>"('"&amp;C12&amp;"','"&amp;D12&amp;"','"&amp;E12&amp;"','"&amp;F12&amp;"','"&amp;G12&amp;"','"&amp;H12&amp;"','"&amp;I12&amp;"')"</f>
        <v>('registration','serial','type','introduced','hours','location','active')</v>
      </c>
    </row>
    <row r="13" spans="3:12" x14ac:dyDescent="0.3">
      <c r="C13" s="9" t="s">
        <v>283</v>
      </c>
      <c r="D13" s="9">
        <v>255</v>
      </c>
      <c r="E13" s="9" t="s">
        <v>276</v>
      </c>
      <c r="F13" s="9">
        <v>2016</v>
      </c>
      <c r="G13" s="9">
        <v>28000</v>
      </c>
      <c r="H13" s="9" t="s">
        <v>299</v>
      </c>
      <c r="I13" s="9" t="b">
        <v>1</v>
      </c>
      <c r="K13" s="4" t="str">
        <f t="shared" ref="K13:K24" si="1">"('"&amp;C13&amp;"','"&amp;D13&amp;"','"&amp;E13&amp;"','"&amp;F13&amp;"','"&amp;G13&amp;"','"&amp;H13&amp;"','"&amp;I13&amp;"')"</f>
        <v>('G-TTNA','255','A20N','2016','28000','LYN','TRUE')</v>
      </c>
      <c r="L13" s="4"/>
    </row>
    <row r="14" spans="3:12" x14ac:dyDescent="0.3">
      <c r="C14" s="9" t="s">
        <v>284</v>
      </c>
      <c r="D14" s="9">
        <v>256</v>
      </c>
      <c r="E14" s="9" t="s">
        <v>276</v>
      </c>
      <c r="F14" s="9">
        <v>2016</v>
      </c>
      <c r="G14" s="9">
        <v>30250</v>
      </c>
      <c r="H14" s="9" t="s">
        <v>302</v>
      </c>
      <c r="I14" s="9" t="b">
        <v>1</v>
      </c>
      <c r="K14" s="4" t="str">
        <f t="shared" si="1"/>
        <v>('G-TTNE','256','A20N','2016','30250','HAM','TRUE')</v>
      </c>
      <c r="L14" s="4"/>
    </row>
    <row r="15" spans="3:12" x14ac:dyDescent="0.3">
      <c r="C15" s="9" t="s">
        <v>285</v>
      </c>
      <c r="D15" s="9">
        <v>289</v>
      </c>
      <c r="E15" s="9" t="s">
        <v>276</v>
      </c>
      <c r="F15" s="9">
        <v>2017</v>
      </c>
      <c r="G15" s="9">
        <v>31150</v>
      </c>
      <c r="H15" s="9" t="s">
        <v>292</v>
      </c>
      <c r="I15" s="9" t="b">
        <v>1</v>
      </c>
      <c r="K15" s="4" t="str">
        <f t="shared" si="1"/>
        <v>('G-TTNF','289','A20N','2017','31150','BRS','TRUE')</v>
      </c>
      <c r="L15" s="4"/>
    </row>
    <row r="16" spans="3:12" x14ac:dyDescent="0.3">
      <c r="C16" s="9" t="s">
        <v>286</v>
      </c>
      <c r="D16" s="9">
        <v>325</v>
      </c>
      <c r="E16" s="9" t="s">
        <v>276</v>
      </c>
      <c r="F16" s="9">
        <v>2018</v>
      </c>
      <c r="G16" s="9">
        <v>34500</v>
      </c>
      <c r="H16" s="9" t="s">
        <v>292</v>
      </c>
      <c r="I16" s="9" t="b">
        <v>1</v>
      </c>
      <c r="K16" s="4" t="str">
        <f t="shared" si="1"/>
        <v>('G-TTNJ','325','A20N','2018','34500','BRS','TRUE')</v>
      </c>
      <c r="L16" s="4"/>
    </row>
    <row r="17" spans="3:12" x14ac:dyDescent="0.3">
      <c r="C17" s="9" t="s">
        <v>287</v>
      </c>
      <c r="D17" s="9">
        <v>10567</v>
      </c>
      <c r="E17" s="9" t="s">
        <v>270</v>
      </c>
      <c r="F17" s="9">
        <v>1999</v>
      </c>
      <c r="G17" s="9">
        <v>81500</v>
      </c>
      <c r="H17" s="9" t="s">
        <v>292</v>
      </c>
      <c r="I17" s="9" t="b">
        <v>0</v>
      </c>
      <c r="K17" s="4" t="str">
        <f t="shared" si="1"/>
        <v>('G-JPKA','10567','B737','1999','81500','BRS','FALSE')</v>
      </c>
      <c r="L17" s="4"/>
    </row>
    <row r="18" spans="3:12" x14ac:dyDescent="0.3">
      <c r="C18" s="9" t="s">
        <v>288</v>
      </c>
      <c r="D18" s="9">
        <v>10602</v>
      </c>
      <c r="E18" s="9" t="s">
        <v>270</v>
      </c>
      <c r="F18" s="9">
        <v>1999</v>
      </c>
      <c r="G18" s="9">
        <v>89900</v>
      </c>
      <c r="H18" s="9" t="s">
        <v>292</v>
      </c>
      <c r="I18" s="9" t="b">
        <v>0</v>
      </c>
      <c r="K18" s="4" t="str">
        <f t="shared" si="1"/>
        <v>('G-JPKB','10602','B737','1999','89900','BRS','FALSE')</v>
      </c>
      <c r="L18" s="4"/>
    </row>
    <row r="19" spans="3:12" x14ac:dyDescent="0.3">
      <c r="C19" s="9" t="s">
        <v>277</v>
      </c>
      <c r="D19" s="9">
        <v>359</v>
      </c>
      <c r="E19" s="9" t="s">
        <v>274</v>
      </c>
      <c r="F19" s="9">
        <v>2013</v>
      </c>
      <c r="G19" s="9">
        <v>33000</v>
      </c>
      <c r="H19" s="9" t="s">
        <v>289</v>
      </c>
      <c r="I19" s="9" t="b">
        <v>1</v>
      </c>
      <c r="K19" s="4" t="str">
        <f t="shared" si="1"/>
        <v>('G-XWBA','359','A359','2013','33000','LHR','TRUE')</v>
      </c>
      <c r="L19" s="4"/>
    </row>
    <row r="20" spans="3:12" x14ac:dyDescent="0.3">
      <c r="C20" s="9" t="s">
        <v>278</v>
      </c>
      <c r="D20" s="9">
        <v>360</v>
      </c>
      <c r="E20" s="9" t="s">
        <v>274</v>
      </c>
      <c r="F20" s="9">
        <v>2013</v>
      </c>
      <c r="G20" s="9">
        <v>34500</v>
      </c>
      <c r="H20" s="9" t="s">
        <v>294</v>
      </c>
      <c r="I20" s="9" t="b">
        <v>1</v>
      </c>
      <c r="K20" s="4" t="str">
        <f t="shared" si="1"/>
        <v>('G-XWBB','360','A359','2013','34500','YVR','TRUE')</v>
      </c>
      <c r="L20" s="4"/>
    </row>
    <row r="21" spans="3:12" x14ac:dyDescent="0.3">
      <c r="C21" s="9" t="s">
        <v>279</v>
      </c>
      <c r="D21" s="9">
        <v>361</v>
      </c>
      <c r="E21" s="9" t="s">
        <v>274</v>
      </c>
      <c r="F21" s="9">
        <v>2013</v>
      </c>
      <c r="G21" s="9">
        <v>35050</v>
      </c>
      <c r="H21" s="9" t="s">
        <v>289</v>
      </c>
      <c r="I21" s="9" t="b">
        <v>0</v>
      </c>
      <c r="K21" s="4" t="str">
        <f t="shared" si="1"/>
        <v>('G-XWBC','361','A359','2013','35050','LHR','FALSE')</v>
      </c>
      <c r="L21" s="4"/>
    </row>
    <row r="22" spans="3:12" x14ac:dyDescent="0.3">
      <c r="C22" s="9" t="s">
        <v>280</v>
      </c>
      <c r="D22" s="9">
        <v>362</v>
      </c>
      <c r="E22" s="9" t="s">
        <v>274</v>
      </c>
      <c r="F22" s="9">
        <v>2014</v>
      </c>
      <c r="G22" s="9">
        <v>28750</v>
      </c>
      <c r="H22" s="9" t="s">
        <v>294</v>
      </c>
      <c r="I22" s="9" t="b">
        <v>1</v>
      </c>
      <c r="K22" s="4" t="str">
        <f t="shared" si="1"/>
        <v>('G-XWBG','362','A359','2014','28750','YVR','TRUE')</v>
      </c>
      <c r="L22" s="4"/>
    </row>
    <row r="23" spans="3:12" x14ac:dyDescent="0.3">
      <c r="C23" s="9" t="s">
        <v>281</v>
      </c>
      <c r="D23" s="9">
        <v>363</v>
      </c>
      <c r="E23" s="9" t="s">
        <v>274</v>
      </c>
      <c r="F23" s="9">
        <v>2014</v>
      </c>
      <c r="G23" s="9">
        <v>26600</v>
      </c>
      <c r="H23" s="9" t="s">
        <v>289</v>
      </c>
      <c r="I23" s="9" t="b">
        <v>1</v>
      </c>
      <c r="K23" s="4" t="str">
        <f t="shared" si="1"/>
        <v>('G-XWBH','363','A359','2014','26600','LHR','TRUE')</v>
      </c>
      <c r="L23" s="4"/>
    </row>
    <row r="24" spans="3:12" x14ac:dyDescent="0.3">
      <c r="C24" s="9" t="s">
        <v>282</v>
      </c>
      <c r="D24" s="9">
        <v>364</v>
      </c>
      <c r="E24" s="9" t="s">
        <v>274</v>
      </c>
      <c r="F24" s="9">
        <v>2015</v>
      </c>
      <c r="G24" s="9">
        <v>24500</v>
      </c>
      <c r="H24" s="9" t="s">
        <v>289</v>
      </c>
      <c r="I24" s="9" t="b">
        <v>1</v>
      </c>
      <c r="K24" s="4" t="str">
        <f t="shared" si="1"/>
        <v>('G-XWBI','364','A359','2015','24500','LHR','TRUE')</v>
      </c>
      <c r="L24" s="4"/>
    </row>
    <row r="27" spans="3:12" x14ac:dyDescent="0.3">
      <c r="C27" s="42" t="s">
        <v>126</v>
      </c>
      <c r="D27" s="42"/>
      <c r="E27" s="42"/>
    </row>
    <row r="28" spans="3:12" x14ac:dyDescent="0.3">
      <c r="C28" s="32" t="s">
        <v>118</v>
      </c>
      <c r="D28" s="32" t="s">
        <v>90</v>
      </c>
      <c r="E28" s="32" t="s">
        <v>91</v>
      </c>
      <c r="G28" t="str">
        <f t="shared" ref="G28:G36" si="2">"('"&amp;C28&amp;"','"&amp;D28&amp;"','"&amp;E28&amp;"')"</f>
        <v>('apCode','city','country')</v>
      </c>
    </row>
    <row r="29" spans="3:12" x14ac:dyDescent="0.3">
      <c r="C29" s="9" t="s">
        <v>289</v>
      </c>
      <c r="D29" s="9" t="s">
        <v>290</v>
      </c>
      <c r="E29" s="9" t="s">
        <v>291</v>
      </c>
      <c r="G29" s="4" t="str">
        <f t="shared" si="2"/>
        <v>('LHR','London','UK')</v>
      </c>
    </row>
    <row r="30" spans="3:12" x14ac:dyDescent="0.3">
      <c r="C30" s="9" t="s">
        <v>294</v>
      </c>
      <c r="D30" s="9" t="s">
        <v>295</v>
      </c>
      <c r="E30" s="9" t="s">
        <v>296</v>
      </c>
      <c r="G30" s="4" t="str">
        <f t="shared" si="2"/>
        <v>('YVR','Vancouver','Canada')</v>
      </c>
    </row>
    <row r="31" spans="3:12" x14ac:dyDescent="0.3">
      <c r="C31" s="9" t="s">
        <v>297</v>
      </c>
      <c r="D31" s="9" t="s">
        <v>298</v>
      </c>
      <c r="E31" s="9" t="s">
        <v>296</v>
      </c>
      <c r="G31" s="4" t="str">
        <f t="shared" si="2"/>
        <v>('YUL','Montreal','Canada')</v>
      </c>
    </row>
    <row r="32" spans="3:12" x14ac:dyDescent="0.3">
      <c r="C32" s="9" t="s">
        <v>305</v>
      </c>
      <c r="D32" s="9" t="s">
        <v>306</v>
      </c>
      <c r="E32" s="9" t="s">
        <v>307</v>
      </c>
      <c r="G32" s="4" t="str">
        <f t="shared" si="2"/>
        <v>('HND','Tokyo','Japan')</v>
      </c>
    </row>
    <row r="33" spans="3:12" x14ac:dyDescent="0.3">
      <c r="C33" s="9" t="s">
        <v>310</v>
      </c>
      <c r="D33" s="9" t="s">
        <v>308</v>
      </c>
      <c r="E33" s="9" t="s">
        <v>309</v>
      </c>
      <c r="G33" s="4" t="str">
        <f t="shared" si="2"/>
        <v>('HAN','Hanoi','Vietnam')</v>
      </c>
    </row>
    <row r="34" spans="3:12" x14ac:dyDescent="0.3">
      <c r="C34" s="9" t="s">
        <v>292</v>
      </c>
      <c r="D34" s="9" t="s">
        <v>293</v>
      </c>
      <c r="E34" s="9" t="s">
        <v>291</v>
      </c>
      <c r="G34" s="4" t="str">
        <f t="shared" si="2"/>
        <v>('BRS','Bristol','UK')</v>
      </c>
    </row>
    <row r="35" spans="3:12" x14ac:dyDescent="0.3">
      <c r="C35" s="9" t="s">
        <v>299</v>
      </c>
      <c r="D35" s="9" t="s">
        <v>300</v>
      </c>
      <c r="E35" s="9" t="s">
        <v>301</v>
      </c>
      <c r="G35" s="4" t="str">
        <f t="shared" si="2"/>
        <v>('LYN','Lyon','France')</v>
      </c>
    </row>
    <row r="36" spans="3:12" x14ac:dyDescent="0.3">
      <c r="C36" s="9" t="s">
        <v>302</v>
      </c>
      <c r="D36" s="9" t="s">
        <v>303</v>
      </c>
      <c r="E36" s="9" t="s">
        <v>304</v>
      </c>
      <c r="G36" s="4" t="str">
        <f t="shared" si="2"/>
        <v>('HAM','Hamburg','Germany')</v>
      </c>
    </row>
    <row r="39" spans="3:12" x14ac:dyDescent="0.3">
      <c r="C39" s="42" t="s">
        <v>125</v>
      </c>
      <c r="D39" s="42"/>
      <c r="E39" s="42"/>
      <c r="F39" s="42"/>
      <c r="G39" s="42"/>
      <c r="H39" s="42"/>
    </row>
    <row r="40" spans="3:12" x14ac:dyDescent="0.3">
      <c r="C40" s="32" t="s">
        <v>117</v>
      </c>
      <c r="D40" s="32" t="s">
        <v>112</v>
      </c>
      <c r="E40" s="32" t="s">
        <v>113</v>
      </c>
      <c r="F40" s="32" t="s">
        <v>407</v>
      </c>
      <c r="G40" s="32" t="s">
        <v>102</v>
      </c>
      <c r="H40" s="32" t="s">
        <v>89</v>
      </c>
      <c r="K40" t="str">
        <f>"('"&amp;C40&amp;"','"&amp;D40&amp;"','"&amp;E40&amp;"','"&amp;F40&amp;"','"&amp;G40&amp;"','"&amp;H40&amp;"')"</f>
        <v>('idRoute','pointA','pointB','route_uq','duration','active')</v>
      </c>
    </row>
    <row r="41" spans="3:12" x14ac:dyDescent="0.3">
      <c r="C41" s="33" t="s">
        <v>391</v>
      </c>
      <c r="D41" s="9" t="s">
        <v>289</v>
      </c>
      <c r="E41" s="9" t="s">
        <v>294</v>
      </c>
      <c r="F41" s="9" t="s">
        <v>362</v>
      </c>
      <c r="G41" s="9">
        <v>570</v>
      </c>
      <c r="H41" s="9" t="b">
        <v>1</v>
      </c>
      <c r="K41" s="4" t="str">
        <f>"('"&amp;C41&amp;"','"&amp;D41&amp;"','"&amp;E41&amp;"','"&amp;F41&amp;"','"&amp;G41&amp;"','"&amp;H41&amp;"')"</f>
        <v>('0010','LHR','YVR','LHRYVR','570','TRUE')</v>
      </c>
      <c r="L41" s="4"/>
    </row>
    <row r="42" spans="3:12" x14ac:dyDescent="0.3">
      <c r="C42" s="33" t="s">
        <v>392</v>
      </c>
      <c r="D42" s="9" t="s">
        <v>294</v>
      </c>
      <c r="E42" s="9" t="s">
        <v>289</v>
      </c>
      <c r="F42" s="9" t="s">
        <v>378</v>
      </c>
      <c r="G42" s="9">
        <v>570</v>
      </c>
      <c r="H42" s="9" t="b">
        <v>1</v>
      </c>
      <c r="K42" s="4" t="str">
        <f t="shared" ref="K42:K56" si="3">"('"&amp;C42&amp;"','"&amp;D42&amp;"','"&amp;E42&amp;"','"&amp;F42&amp;"','"&amp;G42&amp;"','"&amp;H42&amp;"')"</f>
        <v>('0011','YVR','LHR','YVRLHR','570','TRUE')</v>
      </c>
      <c r="L42" s="4"/>
    </row>
    <row r="43" spans="3:12" x14ac:dyDescent="0.3">
      <c r="C43" s="33" t="s">
        <v>393</v>
      </c>
      <c r="D43" s="9" t="s">
        <v>289</v>
      </c>
      <c r="E43" s="9" t="s">
        <v>297</v>
      </c>
      <c r="F43" s="9" t="s">
        <v>363</v>
      </c>
      <c r="G43" s="9">
        <v>450</v>
      </c>
      <c r="H43" s="9" t="b">
        <v>1</v>
      </c>
      <c r="K43" s="4" t="str">
        <f t="shared" si="3"/>
        <v>('0020','LHR','YUL','LHRYUL','450','TRUE')</v>
      </c>
      <c r="L43" s="4"/>
    </row>
    <row r="44" spans="3:12" x14ac:dyDescent="0.3">
      <c r="C44" s="33" t="s">
        <v>394</v>
      </c>
      <c r="D44" s="9" t="s">
        <v>297</v>
      </c>
      <c r="E44" s="9" t="s">
        <v>289</v>
      </c>
      <c r="F44" s="9" t="s">
        <v>364</v>
      </c>
      <c r="G44" s="9">
        <v>450</v>
      </c>
      <c r="H44" s="9" t="b">
        <v>1</v>
      </c>
      <c r="K44" s="4" t="str">
        <f t="shared" si="3"/>
        <v>('0021','YUL','LHR','YULLHR','450','TRUE')</v>
      </c>
      <c r="L44" s="4"/>
    </row>
    <row r="45" spans="3:12" x14ac:dyDescent="0.3">
      <c r="C45" s="33" t="s">
        <v>395</v>
      </c>
      <c r="D45" s="9" t="s">
        <v>289</v>
      </c>
      <c r="E45" s="9" t="s">
        <v>305</v>
      </c>
      <c r="F45" s="9" t="s">
        <v>379</v>
      </c>
      <c r="G45" s="9">
        <v>820</v>
      </c>
      <c r="H45" s="9" t="b">
        <v>1</v>
      </c>
      <c r="K45" s="4" t="str">
        <f t="shared" si="3"/>
        <v>('0030','LHR','HND','LHRHND','820','TRUE')</v>
      </c>
      <c r="L45" s="4"/>
    </row>
    <row r="46" spans="3:12" x14ac:dyDescent="0.3">
      <c r="C46" s="33" t="s">
        <v>396</v>
      </c>
      <c r="D46" s="9" t="s">
        <v>305</v>
      </c>
      <c r="E46" s="9" t="s">
        <v>289</v>
      </c>
      <c r="F46" s="9" t="s">
        <v>365</v>
      </c>
      <c r="G46" s="9">
        <v>820</v>
      </c>
      <c r="H46" s="9" t="b">
        <v>1</v>
      </c>
      <c r="K46" s="4" t="str">
        <f t="shared" si="3"/>
        <v>('0031','HND','LHR','HNDLHR','820','TRUE')</v>
      </c>
      <c r="L46" s="4"/>
    </row>
    <row r="47" spans="3:12" x14ac:dyDescent="0.3">
      <c r="C47" s="33" t="s">
        <v>397</v>
      </c>
      <c r="D47" s="9" t="s">
        <v>289</v>
      </c>
      <c r="E47" s="9" t="s">
        <v>310</v>
      </c>
      <c r="F47" s="9" t="s">
        <v>380</v>
      </c>
      <c r="G47" s="9">
        <v>720</v>
      </c>
      <c r="H47" s="9" t="b">
        <v>0</v>
      </c>
      <c r="K47" s="4" t="str">
        <f t="shared" si="3"/>
        <v>('0040','LHR','HAN','LHRHAN','720','FALSE')</v>
      </c>
      <c r="L47" s="4"/>
    </row>
    <row r="48" spans="3:12" x14ac:dyDescent="0.3">
      <c r="C48" s="33" t="s">
        <v>398</v>
      </c>
      <c r="D48" s="9" t="s">
        <v>310</v>
      </c>
      <c r="E48" s="9" t="s">
        <v>289</v>
      </c>
      <c r="F48" s="9" t="s">
        <v>381</v>
      </c>
      <c r="G48" s="9">
        <v>720</v>
      </c>
      <c r="H48" s="9" t="b">
        <v>0</v>
      </c>
      <c r="K48" s="4" t="str">
        <f t="shared" si="3"/>
        <v>('0041','HAN','LHR','HANLHR','720','FALSE')</v>
      </c>
      <c r="L48" s="4"/>
    </row>
    <row r="49" spans="3:12" x14ac:dyDescent="0.3">
      <c r="C49" s="33" t="s">
        <v>399</v>
      </c>
      <c r="D49" s="9" t="s">
        <v>292</v>
      </c>
      <c r="E49" s="9" t="s">
        <v>299</v>
      </c>
      <c r="F49" s="9" t="s">
        <v>356</v>
      </c>
      <c r="G49" s="9">
        <v>100</v>
      </c>
      <c r="H49" s="9" t="b">
        <v>1</v>
      </c>
      <c r="K49" s="4" t="str">
        <f t="shared" si="3"/>
        <v>('0050','BRS','LYN','BRSLYN','100','TRUE')</v>
      </c>
      <c r="L49" s="4"/>
    </row>
    <row r="50" spans="3:12" x14ac:dyDescent="0.3">
      <c r="C50" s="33" t="s">
        <v>400</v>
      </c>
      <c r="D50" s="9" t="s">
        <v>299</v>
      </c>
      <c r="E50" s="9" t="s">
        <v>292</v>
      </c>
      <c r="F50" s="9" t="s">
        <v>360</v>
      </c>
      <c r="G50" s="9">
        <v>100</v>
      </c>
      <c r="H50" s="9" t="b">
        <v>1</v>
      </c>
      <c r="K50" s="4" t="str">
        <f t="shared" si="3"/>
        <v>('0051','LYN','BRS','LYNBRS','100','TRUE')</v>
      </c>
      <c r="L50" s="4"/>
    </row>
    <row r="51" spans="3:12" x14ac:dyDescent="0.3">
      <c r="C51" s="33" t="s">
        <v>401</v>
      </c>
      <c r="D51" s="9" t="s">
        <v>292</v>
      </c>
      <c r="E51" s="9" t="s">
        <v>302</v>
      </c>
      <c r="F51" s="9" t="s">
        <v>357</v>
      </c>
      <c r="G51" s="9">
        <v>90</v>
      </c>
      <c r="H51" s="9" t="b">
        <v>1</v>
      </c>
      <c r="K51" s="4" t="str">
        <f t="shared" si="3"/>
        <v>('0060','BRS','HAM','BRSHAM','90','TRUE')</v>
      </c>
      <c r="L51" s="4"/>
    </row>
    <row r="52" spans="3:12" x14ac:dyDescent="0.3">
      <c r="C52" s="33" t="s">
        <v>402</v>
      </c>
      <c r="D52" s="9" t="s">
        <v>302</v>
      </c>
      <c r="E52" s="9" t="s">
        <v>292</v>
      </c>
      <c r="F52" s="9" t="s">
        <v>359</v>
      </c>
      <c r="G52" s="9">
        <v>90</v>
      </c>
      <c r="H52" s="9" t="b">
        <v>1</v>
      </c>
      <c r="K52" s="4" t="str">
        <f t="shared" si="3"/>
        <v>('0061','HAM','BRS','HAMBRS','90','TRUE')</v>
      </c>
      <c r="L52" s="4"/>
    </row>
    <row r="53" spans="3:12" x14ac:dyDescent="0.3">
      <c r="C53" s="33" t="s">
        <v>403</v>
      </c>
      <c r="D53" s="9" t="s">
        <v>302</v>
      </c>
      <c r="E53" s="9" t="s">
        <v>299</v>
      </c>
      <c r="F53" s="9" t="s">
        <v>358</v>
      </c>
      <c r="G53" s="9">
        <v>110</v>
      </c>
      <c r="H53" s="9" t="b">
        <v>1</v>
      </c>
      <c r="K53" s="4" t="str">
        <f t="shared" si="3"/>
        <v>('0070','HAM','LYN','HAMLYN','110','TRUE')</v>
      </c>
      <c r="L53" s="4"/>
    </row>
    <row r="54" spans="3:12" x14ac:dyDescent="0.3">
      <c r="C54" s="33" t="s">
        <v>404</v>
      </c>
      <c r="D54" s="9" t="s">
        <v>299</v>
      </c>
      <c r="E54" s="9" t="s">
        <v>302</v>
      </c>
      <c r="F54" s="9" t="s">
        <v>382</v>
      </c>
      <c r="G54" s="9">
        <v>110</v>
      </c>
      <c r="H54" s="9" t="b">
        <v>1</v>
      </c>
      <c r="K54" s="4" t="str">
        <f t="shared" si="3"/>
        <v>('0071','LYN','HAM','LYNHAM','110','TRUE')</v>
      </c>
      <c r="L54" s="4"/>
    </row>
    <row r="55" spans="3:12" x14ac:dyDescent="0.3">
      <c r="C55" s="33" t="s">
        <v>405</v>
      </c>
      <c r="D55" s="9" t="s">
        <v>305</v>
      </c>
      <c r="E55" s="9" t="s">
        <v>294</v>
      </c>
      <c r="F55" s="9" t="s">
        <v>383</v>
      </c>
      <c r="G55" s="9">
        <v>530</v>
      </c>
      <c r="H55" s="9" t="b">
        <v>1</v>
      </c>
      <c r="K55" s="4" t="str">
        <f t="shared" si="3"/>
        <v>('0080','HND','YVR','HNDYVR','530','TRUE')</v>
      </c>
      <c r="L55" s="4"/>
    </row>
    <row r="56" spans="3:12" x14ac:dyDescent="0.3">
      <c r="C56" s="33" t="s">
        <v>406</v>
      </c>
      <c r="D56" s="9" t="s">
        <v>294</v>
      </c>
      <c r="E56" s="9" t="s">
        <v>305</v>
      </c>
      <c r="F56" s="9" t="s">
        <v>361</v>
      </c>
      <c r="G56" s="9">
        <v>530</v>
      </c>
      <c r="H56" s="9" t="b">
        <v>1</v>
      </c>
      <c r="K56" s="4" t="str">
        <f t="shared" si="3"/>
        <v>('0081','YVR','HND','YVRHND','530','TRUE')</v>
      </c>
      <c r="L56" s="4"/>
    </row>
    <row r="59" spans="3:12" x14ac:dyDescent="0.3">
      <c r="C59" s="42" t="s">
        <v>129</v>
      </c>
      <c r="D59" s="42"/>
      <c r="E59" s="42"/>
      <c r="F59" s="42"/>
      <c r="G59" s="42"/>
      <c r="H59" s="42"/>
    </row>
    <row r="60" spans="3:12" x14ac:dyDescent="0.3">
      <c r="C60" s="32" t="s">
        <v>115</v>
      </c>
      <c r="D60" s="32" t="s">
        <v>114</v>
      </c>
      <c r="E60" s="32" t="s">
        <v>92</v>
      </c>
      <c r="F60" s="32" t="s">
        <v>93</v>
      </c>
      <c r="G60" s="32" t="s">
        <v>94</v>
      </c>
      <c r="H60" s="32" t="s">
        <v>89</v>
      </c>
      <c r="J60" t="str">
        <f>"('"&amp;C60&amp;"','"&amp;D60&amp;"','"&amp;E60&amp;"','"&amp;F60&amp;"','"&amp;G60&amp;"','"&amp;H60&amp;"')"</f>
        <v>('idPilot','idEmployee','first_name','surname','captain','active')</v>
      </c>
    </row>
    <row r="61" spans="3:12" x14ac:dyDescent="0.3">
      <c r="C61" s="33" t="s">
        <v>311</v>
      </c>
      <c r="D61" s="9">
        <v>51430</v>
      </c>
      <c r="E61" s="9" t="s">
        <v>323</v>
      </c>
      <c r="F61" s="9" t="s">
        <v>324</v>
      </c>
      <c r="G61" s="9" t="b">
        <v>1</v>
      </c>
      <c r="H61" s="9" t="b">
        <v>1</v>
      </c>
      <c r="J61" s="4" t="str">
        <f t="shared" ref="J61:J72" si="4">"('"&amp;C61&amp;"','"&amp;D61&amp;"','"&amp;E61&amp;"','"&amp;F61&amp;"','"&amp;G61&amp;"','"&amp;H61&amp;"')"</f>
        <v>('001','51430','Vance','Sterling','TRUE','TRUE')</v>
      </c>
    </row>
    <row r="62" spans="3:12" x14ac:dyDescent="0.3">
      <c r="C62" s="33" t="s">
        <v>312</v>
      </c>
      <c r="D62" s="9">
        <v>30516</v>
      </c>
      <c r="E62" s="9" t="s">
        <v>325</v>
      </c>
      <c r="F62" s="9" t="s">
        <v>323</v>
      </c>
      <c r="G62" s="9" t="b">
        <v>1</v>
      </c>
      <c r="H62" s="9" t="b">
        <v>1</v>
      </c>
      <c r="J62" s="4" t="str">
        <f t="shared" si="4"/>
        <v>('002','30516','Amara','Vance','TRUE','TRUE')</v>
      </c>
    </row>
    <row r="63" spans="3:12" x14ac:dyDescent="0.3">
      <c r="C63" s="33" t="s">
        <v>313</v>
      </c>
      <c r="D63" s="9">
        <v>19785</v>
      </c>
      <c r="E63" s="9" t="s">
        <v>326</v>
      </c>
      <c r="F63" s="9" t="s">
        <v>327</v>
      </c>
      <c r="G63" s="9" t="b">
        <v>1</v>
      </c>
      <c r="H63" s="9" t="b">
        <v>1</v>
      </c>
      <c r="J63" s="4" t="str">
        <f t="shared" si="4"/>
        <v>('003','19785','Leo','Cross','TRUE','TRUE')</v>
      </c>
    </row>
    <row r="64" spans="3:12" x14ac:dyDescent="0.3">
      <c r="C64" s="33" t="s">
        <v>314</v>
      </c>
      <c r="D64" s="9">
        <v>89000</v>
      </c>
      <c r="E64" s="9" t="s">
        <v>328</v>
      </c>
      <c r="F64" s="9" t="s">
        <v>329</v>
      </c>
      <c r="G64" s="9" t="b">
        <v>1</v>
      </c>
      <c r="H64" s="9" t="b">
        <v>1</v>
      </c>
      <c r="J64" s="4" t="str">
        <f t="shared" si="4"/>
        <v>('004','89000','Maya','Lin','TRUE','TRUE')</v>
      </c>
    </row>
    <row r="65" spans="3:10" x14ac:dyDescent="0.3">
      <c r="C65" s="33" t="s">
        <v>315</v>
      </c>
      <c r="D65" s="9">
        <v>34697</v>
      </c>
      <c r="E65" s="9" t="s">
        <v>330</v>
      </c>
      <c r="F65" s="9" t="s">
        <v>331</v>
      </c>
      <c r="G65" s="9" t="b">
        <v>1</v>
      </c>
      <c r="H65" s="9" t="b">
        <v>1</v>
      </c>
      <c r="J65" s="4" t="str">
        <f t="shared" si="4"/>
        <v>('005','34697','Jaques','Mercier','TRUE','TRUE')</v>
      </c>
    </row>
    <row r="66" spans="3:10" x14ac:dyDescent="0.3">
      <c r="C66" s="33" t="s">
        <v>316</v>
      </c>
      <c r="D66" s="9">
        <v>16430</v>
      </c>
      <c r="E66" s="9" t="s">
        <v>332</v>
      </c>
      <c r="F66" s="9" t="s">
        <v>333</v>
      </c>
      <c r="G66" s="9" t="b">
        <v>1</v>
      </c>
      <c r="H66" s="9" t="b">
        <v>0</v>
      </c>
      <c r="J66" s="4" t="str">
        <f t="shared" si="4"/>
        <v>('006','16430','Zane','Castillo','TRUE','FALSE')</v>
      </c>
    </row>
    <row r="67" spans="3:10" x14ac:dyDescent="0.3">
      <c r="C67" s="33" t="s">
        <v>317</v>
      </c>
      <c r="D67" s="9">
        <v>75015</v>
      </c>
      <c r="E67" s="9" t="s">
        <v>334</v>
      </c>
      <c r="F67" s="9" t="s">
        <v>335</v>
      </c>
      <c r="G67" s="9" t="b">
        <v>0</v>
      </c>
      <c r="H67" s="9" t="b">
        <v>1</v>
      </c>
      <c r="J67" s="4" t="str">
        <f t="shared" si="4"/>
        <v>('007','75015','Kenji','Sato','FALSE','TRUE')</v>
      </c>
    </row>
    <row r="68" spans="3:10" x14ac:dyDescent="0.3">
      <c r="C68" s="33" t="s">
        <v>318</v>
      </c>
      <c r="D68" s="9">
        <v>96759</v>
      </c>
      <c r="E68" s="9" t="s">
        <v>336</v>
      </c>
      <c r="F68" s="9" t="s">
        <v>337</v>
      </c>
      <c r="G68" s="9" t="b">
        <v>0</v>
      </c>
      <c r="H68" s="9" t="b">
        <v>1</v>
      </c>
      <c r="J68" s="4" t="str">
        <f t="shared" si="4"/>
        <v>('008','96759','Mateo','Silva','FALSE','TRUE')</v>
      </c>
    </row>
    <row r="69" spans="3:10" x14ac:dyDescent="0.3">
      <c r="C69" s="33" t="s">
        <v>319</v>
      </c>
      <c r="D69" s="9">
        <v>89469</v>
      </c>
      <c r="E69" s="9" t="s">
        <v>338</v>
      </c>
      <c r="F69" s="9" t="s">
        <v>339</v>
      </c>
      <c r="G69" s="9" t="b">
        <v>0</v>
      </c>
      <c r="H69" s="9" t="b">
        <v>1</v>
      </c>
      <c r="J69" s="4" t="str">
        <f t="shared" si="4"/>
        <v>('009','89469','Priya','Nair','FALSE','TRUE')</v>
      </c>
    </row>
    <row r="70" spans="3:10" x14ac:dyDescent="0.3">
      <c r="C70" s="33" t="s">
        <v>320</v>
      </c>
      <c r="D70" s="9">
        <v>75346</v>
      </c>
      <c r="E70" s="9" t="s">
        <v>329</v>
      </c>
      <c r="F70" s="9" t="s">
        <v>340</v>
      </c>
      <c r="G70" s="9" t="b">
        <v>0</v>
      </c>
      <c r="H70" s="9" t="b">
        <v>1</v>
      </c>
      <c r="J70" s="4" t="str">
        <f t="shared" si="4"/>
        <v>('010','75346','Lin','Wei','FALSE','TRUE')</v>
      </c>
    </row>
    <row r="71" spans="3:10" x14ac:dyDescent="0.3">
      <c r="C71" s="33" t="s">
        <v>321</v>
      </c>
      <c r="D71" s="9">
        <v>34687</v>
      </c>
      <c r="E71" s="9" t="s">
        <v>341</v>
      </c>
      <c r="F71" s="9" t="s">
        <v>342</v>
      </c>
      <c r="G71" s="9" t="b">
        <v>0</v>
      </c>
      <c r="H71" s="9" t="b">
        <v>1</v>
      </c>
      <c r="J71" s="4" t="str">
        <f t="shared" si="4"/>
        <v>('011','34687','Zayn','Hashmi','FALSE','TRUE')</v>
      </c>
    </row>
    <row r="72" spans="3:10" x14ac:dyDescent="0.3">
      <c r="C72" s="33" t="s">
        <v>322</v>
      </c>
      <c r="D72" s="9">
        <v>34698</v>
      </c>
      <c r="E72" s="9" t="s">
        <v>384</v>
      </c>
      <c r="F72" s="9" t="s">
        <v>343</v>
      </c>
      <c r="G72" s="9" t="b">
        <v>0</v>
      </c>
      <c r="H72" s="9" t="b">
        <v>0</v>
      </c>
      <c r="J72" s="4" t="str">
        <f t="shared" si="4"/>
        <v>('012','34698','Jessica','Tucker','FALSE','FALSE')</v>
      </c>
    </row>
    <row r="75" spans="3:10" x14ac:dyDescent="0.3">
      <c r="C75" s="43" t="s">
        <v>157</v>
      </c>
      <c r="D75" s="44"/>
      <c r="E75" s="44"/>
      <c r="F75" s="45"/>
    </row>
    <row r="76" spans="3:10" x14ac:dyDescent="0.3">
      <c r="C76" s="32" t="s">
        <v>410</v>
      </c>
      <c r="D76" s="32" t="s">
        <v>139</v>
      </c>
      <c r="E76" s="32" t="s">
        <v>88</v>
      </c>
      <c r="F76" s="32" t="s">
        <v>413</v>
      </c>
      <c r="H76" t="str">
        <f>"('"&amp;C76&amp;"','"&amp;D76&amp;"','"&amp;E76&amp;"','"&amp;F76&amp;"')"</f>
        <v>('idCertification','pilot','type','certification_uq')</v>
      </c>
    </row>
    <row r="77" spans="3:10" x14ac:dyDescent="0.3">
      <c r="C77" s="33" t="s">
        <v>311</v>
      </c>
      <c r="D77" s="33" t="s">
        <v>311</v>
      </c>
      <c r="E77" s="9" t="s">
        <v>276</v>
      </c>
      <c r="F77" s="9" t="str">
        <f>D77&amp;E77</f>
        <v>001A20N</v>
      </c>
      <c r="H77" s="4" t="str">
        <f t="shared" ref="H77:H92" si="5">"('"&amp;C77&amp;"','"&amp;D77&amp;"','"&amp;E77&amp;"','"&amp;F77&amp;"')"</f>
        <v>('001','001','A20N','001A20N')</v>
      </c>
    </row>
    <row r="78" spans="3:10" x14ac:dyDescent="0.3">
      <c r="C78" s="33" t="s">
        <v>312</v>
      </c>
      <c r="D78" s="33" t="s">
        <v>312</v>
      </c>
      <c r="E78" s="9" t="s">
        <v>276</v>
      </c>
      <c r="F78" s="9" t="str">
        <f t="shared" ref="F78:F92" si="6">D78&amp;E78</f>
        <v>002A20N</v>
      </c>
      <c r="H78" s="4" t="str">
        <f t="shared" si="5"/>
        <v>('002','002','A20N','002A20N')</v>
      </c>
    </row>
    <row r="79" spans="3:10" x14ac:dyDescent="0.3">
      <c r="C79" s="33" t="s">
        <v>313</v>
      </c>
      <c r="D79" s="33" t="s">
        <v>312</v>
      </c>
      <c r="E79" s="9" t="s">
        <v>274</v>
      </c>
      <c r="F79" s="9" t="str">
        <f t="shared" si="6"/>
        <v>002A359</v>
      </c>
      <c r="H79" s="4" t="str">
        <f t="shared" si="5"/>
        <v>('003','002','A359','002A359')</v>
      </c>
    </row>
    <row r="80" spans="3:10" x14ac:dyDescent="0.3">
      <c r="C80" s="33" t="s">
        <v>314</v>
      </c>
      <c r="D80" s="33" t="s">
        <v>313</v>
      </c>
      <c r="E80" s="9" t="s">
        <v>276</v>
      </c>
      <c r="F80" s="9" t="str">
        <f t="shared" si="6"/>
        <v>003A20N</v>
      </c>
      <c r="H80" s="4" t="str">
        <f t="shared" si="5"/>
        <v>('004','003','A20N','003A20N')</v>
      </c>
    </row>
    <row r="81" spans="3:16" x14ac:dyDescent="0.3">
      <c r="C81" s="33" t="s">
        <v>315</v>
      </c>
      <c r="D81" s="33" t="s">
        <v>314</v>
      </c>
      <c r="E81" s="9" t="s">
        <v>276</v>
      </c>
      <c r="F81" s="9" t="str">
        <f t="shared" si="6"/>
        <v>004A20N</v>
      </c>
      <c r="H81" s="4" t="str">
        <f t="shared" si="5"/>
        <v>('005','004','A20N','004A20N')</v>
      </c>
    </row>
    <row r="82" spans="3:16" x14ac:dyDescent="0.3">
      <c r="C82" s="33" t="s">
        <v>316</v>
      </c>
      <c r="D82" s="33" t="s">
        <v>314</v>
      </c>
      <c r="E82" s="9" t="s">
        <v>274</v>
      </c>
      <c r="F82" s="9" t="str">
        <f t="shared" si="6"/>
        <v>004A359</v>
      </c>
      <c r="H82" s="4" t="str">
        <f t="shared" si="5"/>
        <v>('006','004','A359','004A359')</v>
      </c>
    </row>
    <row r="83" spans="3:16" x14ac:dyDescent="0.3">
      <c r="C83" s="33" t="s">
        <v>317</v>
      </c>
      <c r="D83" s="33" t="s">
        <v>315</v>
      </c>
      <c r="E83" s="9" t="s">
        <v>276</v>
      </c>
      <c r="F83" s="9" t="str">
        <f t="shared" si="6"/>
        <v>005A20N</v>
      </c>
      <c r="H83" s="4" t="str">
        <f t="shared" si="5"/>
        <v>('007','005','A20N','005A20N')</v>
      </c>
    </row>
    <row r="84" spans="3:16" x14ac:dyDescent="0.3">
      <c r="C84" s="33" t="s">
        <v>318</v>
      </c>
      <c r="D84" s="33" t="s">
        <v>317</v>
      </c>
      <c r="E84" s="9" t="s">
        <v>276</v>
      </c>
      <c r="F84" s="9" t="str">
        <f t="shared" si="6"/>
        <v>007A20N</v>
      </c>
      <c r="H84" s="4" t="str">
        <f t="shared" si="5"/>
        <v>('008','007','A20N','007A20N')</v>
      </c>
    </row>
    <row r="85" spans="3:16" x14ac:dyDescent="0.3">
      <c r="C85" s="33" t="s">
        <v>319</v>
      </c>
      <c r="D85" s="33" t="s">
        <v>317</v>
      </c>
      <c r="E85" s="9" t="s">
        <v>274</v>
      </c>
      <c r="F85" s="9" t="str">
        <f t="shared" si="6"/>
        <v>007A359</v>
      </c>
      <c r="H85" s="4" t="str">
        <f t="shared" si="5"/>
        <v>('009','007','A359','007A359')</v>
      </c>
    </row>
    <row r="86" spans="3:16" x14ac:dyDescent="0.3">
      <c r="C86" s="33" t="s">
        <v>320</v>
      </c>
      <c r="D86" s="33" t="s">
        <v>317</v>
      </c>
      <c r="E86" s="9" t="s">
        <v>270</v>
      </c>
      <c r="F86" s="9" t="str">
        <f t="shared" si="6"/>
        <v>007B737</v>
      </c>
      <c r="H86" s="4" t="str">
        <f t="shared" si="5"/>
        <v>('010','007','B737','007B737')</v>
      </c>
    </row>
    <row r="87" spans="3:16" x14ac:dyDescent="0.3">
      <c r="C87" s="33" t="s">
        <v>321</v>
      </c>
      <c r="D87" s="33" t="s">
        <v>318</v>
      </c>
      <c r="E87" s="9" t="s">
        <v>274</v>
      </c>
      <c r="F87" s="9" t="str">
        <f t="shared" si="6"/>
        <v>008A359</v>
      </c>
      <c r="H87" s="4" t="str">
        <f t="shared" si="5"/>
        <v>('011','008','A359','008A359')</v>
      </c>
    </row>
    <row r="88" spans="3:16" x14ac:dyDescent="0.3">
      <c r="C88" s="33" t="s">
        <v>322</v>
      </c>
      <c r="D88" s="33" t="s">
        <v>319</v>
      </c>
      <c r="E88" s="9" t="s">
        <v>276</v>
      </c>
      <c r="F88" s="9" t="str">
        <f t="shared" si="6"/>
        <v>009A20N</v>
      </c>
      <c r="H88" s="4" t="str">
        <f t="shared" si="5"/>
        <v>('012','009','A20N','009A20N')</v>
      </c>
    </row>
    <row r="89" spans="3:16" x14ac:dyDescent="0.3">
      <c r="C89" s="33" t="s">
        <v>387</v>
      </c>
      <c r="D89" s="33" t="s">
        <v>319</v>
      </c>
      <c r="E89" s="9" t="s">
        <v>274</v>
      </c>
      <c r="F89" s="9" t="str">
        <f t="shared" si="6"/>
        <v>009A359</v>
      </c>
      <c r="H89" s="4" t="str">
        <f t="shared" si="5"/>
        <v>('013','009','A359','009A359')</v>
      </c>
    </row>
    <row r="90" spans="3:16" x14ac:dyDescent="0.3">
      <c r="C90" s="33" t="s">
        <v>388</v>
      </c>
      <c r="D90" s="33" t="s">
        <v>320</v>
      </c>
      <c r="E90" s="9" t="s">
        <v>276</v>
      </c>
      <c r="F90" s="9" t="str">
        <f t="shared" si="6"/>
        <v>010A20N</v>
      </c>
      <c r="H90" s="4" t="str">
        <f t="shared" si="5"/>
        <v>('014','010','A20N','010A20N')</v>
      </c>
    </row>
    <row r="91" spans="3:16" x14ac:dyDescent="0.3">
      <c r="C91" s="33" t="s">
        <v>389</v>
      </c>
      <c r="D91" s="33" t="s">
        <v>321</v>
      </c>
      <c r="E91" s="9" t="s">
        <v>276</v>
      </c>
      <c r="F91" s="9" t="str">
        <f t="shared" si="6"/>
        <v>011A20N</v>
      </c>
      <c r="H91" s="4" t="str">
        <f t="shared" si="5"/>
        <v>('015','011','A20N','011A20N')</v>
      </c>
    </row>
    <row r="92" spans="3:16" x14ac:dyDescent="0.3">
      <c r="C92" s="33" t="s">
        <v>390</v>
      </c>
      <c r="D92" s="33" t="s">
        <v>322</v>
      </c>
      <c r="E92" s="9" t="s">
        <v>274</v>
      </c>
      <c r="F92" s="9" t="str">
        <f t="shared" si="6"/>
        <v>012A359</v>
      </c>
      <c r="H92" s="4" t="str">
        <f t="shared" si="5"/>
        <v>('016','012','A359','012A359')</v>
      </c>
    </row>
    <row r="95" spans="3:16" x14ac:dyDescent="0.3">
      <c r="C95" s="42" t="s">
        <v>124</v>
      </c>
      <c r="D95" s="42"/>
      <c r="E95" s="42"/>
      <c r="F95" s="42"/>
      <c r="G95" s="42"/>
      <c r="H95" s="42"/>
      <c r="I95" s="42"/>
      <c r="J95" s="42"/>
      <c r="K95" s="42"/>
      <c r="L95" s="39"/>
    </row>
    <row r="96" spans="3:16" x14ac:dyDescent="0.3">
      <c r="C96" s="32" t="s">
        <v>106</v>
      </c>
      <c r="D96" s="32" t="s">
        <v>107</v>
      </c>
      <c r="E96" s="32" t="s">
        <v>105</v>
      </c>
      <c r="F96" s="32" t="s">
        <v>108</v>
      </c>
      <c r="G96" s="32" t="s">
        <v>111</v>
      </c>
      <c r="H96" s="32" t="s">
        <v>103</v>
      </c>
      <c r="I96" s="32" t="s">
        <v>110</v>
      </c>
      <c r="J96" s="32" t="s">
        <v>194</v>
      </c>
      <c r="K96" s="32" t="s">
        <v>89</v>
      </c>
      <c r="L96" s="35" t="s">
        <v>417</v>
      </c>
      <c r="M96" s="35" t="s">
        <v>385</v>
      </c>
      <c r="N96" s="35" t="s">
        <v>385</v>
      </c>
      <c r="P96" s="31" t="str">
        <f>"('"&amp;C96&amp;"','"&amp;D96&amp;"','"&amp;E96&amp;"','"&amp;F96&amp;"','"&amp;G96&amp;"','"&amp;H96&amp;"','"&amp;I96&amp;"','"&amp;J96&amp;"','"&amp;K96&amp;"')"</f>
        <v>('flight_number','designation','route','departure_time','longhaul','arrival_time','airframe','crewed','active')</v>
      </c>
    </row>
    <row r="97" spans="3:16" x14ac:dyDescent="0.3">
      <c r="C97" s="33" t="s">
        <v>344</v>
      </c>
      <c r="D97" s="9" t="s">
        <v>366</v>
      </c>
      <c r="E97" s="40" t="s">
        <v>393</v>
      </c>
      <c r="F97" s="34">
        <v>46289.895833333336</v>
      </c>
      <c r="G97" s="9" t="b">
        <v>1</v>
      </c>
      <c r="H97" s="34">
        <v>46290.208333333336</v>
      </c>
      <c r="I97" s="9" t="s">
        <v>278</v>
      </c>
      <c r="J97" s="9" t="b">
        <v>1</v>
      </c>
      <c r="K97" s="9" t="b">
        <v>0</v>
      </c>
      <c r="L97" s="19" t="s">
        <v>363</v>
      </c>
      <c r="M97" t="str">
        <f t="shared" ref="M97:M108" si="7">TEXT(F97, "yyyy-mm-dd hh:mm")</f>
        <v>2026-09-24 21:30</v>
      </c>
      <c r="N97" t="str">
        <f t="shared" ref="N97:N108" si="8">TEXT(H97, "yyyy-mm-dd hh:mm")</f>
        <v>2026-09-25 05:00</v>
      </c>
      <c r="P97" s="31" t="str">
        <f>"('"&amp;C97&amp;"','"&amp;D97&amp;"','"&amp;E97&amp;"','"&amp;M97&amp;"','"&amp;G97&amp;"','"&amp;N97&amp;"','"&amp;I97&amp;"','"&amp;J97&amp;"','"&amp;K97&amp;"')"</f>
        <v>('057','JP-057','0020','2026-09-24 21:30','TRUE','2026-09-25 05:00','G-XWBB','TRUE','FALSE')</v>
      </c>
    </row>
    <row r="98" spans="3:16" x14ac:dyDescent="0.3">
      <c r="C98" s="33" t="s">
        <v>345</v>
      </c>
      <c r="D98" s="9" t="s">
        <v>367</v>
      </c>
      <c r="E98" s="40" t="s">
        <v>394</v>
      </c>
      <c r="F98" s="34">
        <v>46290.6875</v>
      </c>
      <c r="G98" s="9" t="b">
        <v>1</v>
      </c>
      <c r="H98" s="34">
        <v>46291</v>
      </c>
      <c r="I98" s="9" t="s">
        <v>278</v>
      </c>
      <c r="J98" s="9" t="b">
        <v>1</v>
      </c>
      <c r="K98" s="9" t="b">
        <v>0</v>
      </c>
      <c r="L98" s="19" t="s">
        <v>364</v>
      </c>
      <c r="M98" t="str">
        <f t="shared" si="7"/>
        <v>2026-09-25 16:30</v>
      </c>
      <c r="N98" t="str">
        <f t="shared" si="8"/>
        <v>2026-09-26 00:00</v>
      </c>
      <c r="P98" s="31" t="str">
        <f t="shared" ref="P98:P108" si="9">"('"&amp;C98&amp;"','"&amp;D98&amp;"','"&amp;E98&amp;"','"&amp;M98&amp;"','"&amp;G98&amp;"','"&amp;N98&amp;"','"&amp;I98&amp;"','"&amp;J98&amp;"','"&amp;K98&amp;"')"</f>
        <v>('058','JP-058','0021','2026-09-25 16:30','TRUE','2026-09-26 00:00','G-XWBB','TRUE','FALSE')</v>
      </c>
    </row>
    <row r="99" spans="3:16" x14ac:dyDescent="0.3">
      <c r="C99" s="33" t="s">
        <v>346</v>
      </c>
      <c r="D99" s="9" t="s">
        <v>368</v>
      </c>
      <c r="E99" s="40" t="s">
        <v>391</v>
      </c>
      <c r="F99" s="34">
        <v>46290.695833333331</v>
      </c>
      <c r="G99" s="9" t="b">
        <v>1</v>
      </c>
      <c r="H99" s="34">
        <v>46291.091666666667</v>
      </c>
      <c r="I99" s="9" t="s">
        <v>278</v>
      </c>
      <c r="J99" s="9" t="b">
        <v>1</v>
      </c>
      <c r="K99" s="9" t="b">
        <v>0</v>
      </c>
      <c r="L99" s="19" t="s">
        <v>362</v>
      </c>
      <c r="M99" t="str">
        <f t="shared" si="7"/>
        <v>2026-09-25 16:42</v>
      </c>
      <c r="N99" t="str">
        <f t="shared" si="8"/>
        <v>2026-09-26 02:12</v>
      </c>
      <c r="P99" s="31" t="str">
        <f t="shared" si="9"/>
        <v>('059','JP-059','0010','2026-09-25 16:42','TRUE','2026-09-26 02:12','G-XWBB','TRUE','FALSE')</v>
      </c>
    </row>
    <row r="100" spans="3:16" x14ac:dyDescent="0.3">
      <c r="C100" s="33" t="s">
        <v>347</v>
      </c>
      <c r="D100" s="9" t="s">
        <v>369</v>
      </c>
      <c r="E100" s="40" t="s">
        <v>400</v>
      </c>
      <c r="F100" s="34">
        <v>46290.777083333334</v>
      </c>
      <c r="G100" s="9" t="b">
        <v>0</v>
      </c>
      <c r="H100" s="34">
        <v>46290.84652777778</v>
      </c>
      <c r="I100" s="9" t="s">
        <v>283</v>
      </c>
      <c r="J100" s="9" t="b">
        <v>1</v>
      </c>
      <c r="K100" s="9" t="b">
        <v>1</v>
      </c>
      <c r="L100" s="19" t="s">
        <v>360</v>
      </c>
      <c r="M100" t="str">
        <f t="shared" si="7"/>
        <v>2026-09-25 18:39</v>
      </c>
      <c r="N100" t="str">
        <f t="shared" si="8"/>
        <v>2026-09-25 20:19</v>
      </c>
      <c r="P100" s="31" t="str">
        <f t="shared" si="9"/>
        <v>('060','JP-060','0051','2026-09-25 18:39','FALSE','2026-09-25 20:19','G-TTNA','TRUE','TRUE')</v>
      </c>
    </row>
    <row r="101" spans="3:16" x14ac:dyDescent="0.3">
      <c r="C101" s="33" t="s">
        <v>348</v>
      </c>
      <c r="D101" s="9" t="s">
        <v>370</v>
      </c>
      <c r="E101" s="40" t="s">
        <v>406</v>
      </c>
      <c r="F101" s="34">
        <v>46291.145833333336</v>
      </c>
      <c r="G101" s="9" t="b">
        <v>1</v>
      </c>
      <c r="H101" s="34">
        <v>46291.513888888891</v>
      </c>
      <c r="I101" s="9" t="s">
        <v>280</v>
      </c>
      <c r="J101" s="9" t="b">
        <v>1</v>
      </c>
      <c r="K101" s="9" t="b">
        <v>1</v>
      </c>
      <c r="L101" s="19" t="s">
        <v>361</v>
      </c>
      <c r="M101" t="str">
        <f t="shared" si="7"/>
        <v>2026-09-26 03:30</v>
      </c>
      <c r="N101" t="str">
        <f t="shared" si="8"/>
        <v>2026-09-26 12:20</v>
      </c>
      <c r="P101" s="31" t="str">
        <f t="shared" si="9"/>
        <v>('061','JP-061','0081','2026-09-26 03:30','TRUE','2026-09-26 12:20','G-XWBG','TRUE','TRUE')</v>
      </c>
    </row>
    <row r="102" spans="3:16" x14ac:dyDescent="0.3">
      <c r="C102" s="33" t="s">
        <v>349</v>
      </c>
      <c r="D102" s="9" t="s">
        <v>371</v>
      </c>
      <c r="E102" s="40" t="s">
        <v>399</v>
      </c>
      <c r="F102" s="34">
        <v>46291.34375</v>
      </c>
      <c r="G102" s="9" t="b">
        <v>0</v>
      </c>
      <c r="H102" s="34">
        <v>46291.413194444445</v>
      </c>
      <c r="I102" s="9" t="s">
        <v>285</v>
      </c>
      <c r="J102" s="9" t="b">
        <v>1</v>
      </c>
      <c r="K102" s="9" t="b">
        <v>1</v>
      </c>
      <c r="L102" s="19" t="s">
        <v>356</v>
      </c>
      <c r="M102" t="str">
        <f t="shared" si="7"/>
        <v>2026-09-26 08:15</v>
      </c>
      <c r="N102" t="str">
        <f t="shared" si="8"/>
        <v>2026-09-26 09:55</v>
      </c>
      <c r="P102" s="31" t="str">
        <f t="shared" si="9"/>
        <v>('062','JP-062','0050','2026-09-26 08:15','FALSE','2026-09-26 09:55','G-TTNF','TRUE','TRUE')</v>
      </c>
    </row>
    <row r="103" spans="3:16" x14ac:dyDescent="0.3">
      <c r="C103" s="33" t="s">
        <v>350</v>
      </c>
      <c r="D103" s="9" t="s">
        <v>372</v>
      </c>
      <c r="E103" s="40" t="s">
        <v>401</v>
      </c>
      <c r="F103" s="34">
        <v>46291.347222222219</v>
      </c>
      <c r="G103" s="9" t="b">
        <v>0</v>
      </c>
      <c r="H103" s="34">
        <v>46291.409722222219</v>
      </c>
      <c r="I103" s="9" t="s">
        <v>286</v>
      </c>
      <c r="J103" s="9" t="b">
        <v>1</v>
      </c>
      <c r="K103" s="9" t="b">
        <v>1</v>
      </c>
      <c r="L103" s="19" t="s">
        <v>357</v>
      </c>
      <c r="M103" t="str">
        <f t="shared" si="7"/>
        <v>2026-09-26 08:20</v>
      </c>
      <c r="N103" t="str">
        <f t="shared" si="8"/>
        <v>2026-09-26 09:50</v>
      </c>
      <c r="P103" s="31" t="str">
        <f t="shared" si="9"/>
        <v>('063','JP-063','0060','2026-09-26 08:20','FALSE','2026-09-26 09:50','G-TTNJ','TRUE','TRUE')</v>
      </c>
    </row>
    <row r="104" spans="3:16" x14ac:dyDescent="0.3">
      <c r="C104" s="33" t="s">
        <v>351</v>
      </c>
      <c r="D104" s="9" t="s">
        <v>373</v>
      </c>
      <c r="E104" s="40" t="s">
        <v>401</v>
      </c>
      <c r="F104" s="34">
        <v>46291.427083333336</v>
      </c>
      <c r="G104" s="9" t="b">
        <v>0</v>
      </c>
      <c r="H104" s="34">
        <v>46291.489583333336</v>
      </c>
      <c r="I104" s="9" t="s">
        <v>283</v>
      </c>
      <c r="J104" s="9" t="b">
        <v>1</v>
      </c>
      <c r="K104" s="9" t="b">
        <v>1</v>
      </c>
      <c r="L104" s="19" t="s">
        <v>357</v>
      </c>
      <c r="M104" t="str">
        <f t="shared" si="7"/>
        <v>2026-09-26 10:15</v>
      </c>
      <c r="N104" t="str">
        <f t="shared" si="8"/>
        <v>2026-09-26 11:45</v>
      </c>
      <c r="P104" s="31" t="str">
        <f t="shared" si="9"/>
        <v>('064','JP-064','0060','2026-09-26 10:15','FALSE','2026-09-26 11:45','G-TTNA','TRUE','TRUE')</v>
      </c>
    </row>
    <row r="105" spans="3:16" x14ac:dyDescent="0.3">
      <c r="C105" s="33" t="s">
        <v>352</v>
      </c>
      <c r="D105" s="9" t="s">
        <v>374</v>
      </c>
      <c r="E105" s="40" t="s">
        <v>403</v>
      </c>
      <c r="F105" s="34">
        <v>46291.427083333336</v>
      </c>
      <c r="G105" s="9" t="b">
        <v>0</v>
      </c>
      <c r="H105" s="34">
        <v>46291.503472222219</v>
      </c>
      <c r="I105" s="9" t="s">
        <v>284</v>
      </c>
      <c r="J105" s="9" t="b">
        <v>0</v>
      </c>
      <c r="K105" s="9" t="b">
        <v>1</v>
      </c>
      <c r="L105" s="19" t="s">
        <v>358</v>
      </c>
      <c r="M105" t="str">
        <f t="shared" si="7"/>
        <v>2026-09-26 10:15</v>
      </c>
      <c r="N105" t="str">
        <f t="shared" si="8"/>
        <v>2026-09-26 12:05</v>
      </c>
      <c r="P105" s="31" t="str">
        <f t="shared" si="9"/>
        <v>('065','JP-065','0070','2026-09-26 10:15','FALSE','2026-09-26 12:05','G-TTNE','FALSE','TRUE')</v>
      </c>
    </row>
    <row r="106" spans="3:16" x14ac:dyDescent="0.3">
      <c r="C106" s="33" t="s">
        <v>353</v>
      </c>
      <c r="D106" s="9" t="s">
        <v>375</v>
      </c>
      <c r="E106" s="40" t="s">
        <v>402</v>
      </c>
      <c r="F106" s="34">
        <v>46291.431250000001</v>
      </c>
      <c r="G106" s="9" t="b">
        <v>0</v>
      </c>
      <c r="H106" s="34">
        <v>46291.493750000001</v>
      </c>
      <c r="I106" s="9" t="s">
        <v>286</v>
      </c>
      <c r="J106" s="9" t="b">
        <v>0</v>
      </c>
      <c r="K106" s="9" t="b">
        <v>1</v>
      </c>
      <c r="L106" s="19" t="s">
        <v>359</v>
      </c>
      <c r="M106" t="str">
        <f t="shared" si="7"/>
        <v>2026-09-26 10:21</v>
      </c>
      <c r="N106" t="str">
        <f t="shared" si="8"/>
        <v>2026-09-26 11:51</v>
      </c>
      <c r="P106" s="31" t="str">
        <f t="shared" si="9"/>
        <v>('066','JP-066','0061','2026-09-26 10:21','FALSE','2026-09-26 11:51','G-TTNJ','FALSE','TRUE')</v>
      </c>
    </row>
    <row r="107" spans="3:16" x14ac:dyDescent="0.3">
      <c r="C107" s="33" t="s">
        <v>354</v>
      </c>
      <c r="D107" s="9" t="s">
        <v>376</v>
      </c>
      <c r="E107" s="40" t="s">
        <v>402</v>
      </c>
      <c r="F107" s="34">
        <v>46292.431250000001</v>
      </c>
      <c r="G107" s="9" t="b">
        <v>0</v>
      </c>
      <c r="H107" s="34">
        <v>46292.493750000001</v>
      </c>
      <c r="I107" s="9" t="s">
        <v>283</v>
      </c>
      <c r="J107" s="9" t="b">
        <v>0</v>
      </c>
      <c r="K107" s="9" t="b">
        <v>1</v>
      </c>
      <c r="L107" s="19" t="s">
        <v>359</v>
      </c>
      <c r="M107" t="str">
        <f t="shared" si="7"/>
        <v>2026-09-27 10:21</v>
      </c>
      <c r="N107" t="str">
        <f t="shared" si="8"/>
        <v>2026-09-27 11:51</v>
      </c>
      <c r="P107" s="31" t="str">
        <f t="shared" si="9"/>
        <v>('067','JP-067','0061','2026-09-27 10:21','FALSE','2026-09-27 11:51','G-TTNA','FALSE','TRUE')</v>
      </c>
    </row>
    <row r="108" spans="3:16" x14ac:dyDescent="0.3">
      <c r="C108" s="33" t="s">
        <v>355</v>
      </c>
      <c r="D108" s="9" t="s">
        <v>377</v>
      </c>
      <c r="E108" s="40" t="s">
        <v>405</v>
      </c>
      <c r="F108" s="34">
        <v>46294</v>
      </c>
      <c r="G108" s="9" t="b">
        <v>1</v>
      </c>
      <c r="H108" s="34">
        <v>46294.569444444445</v>
      </c>
      <c r="I108" s="9" t="s">
        <v>280</v>
      </c>
      <c r="J108" s="9" t="b">
        <v>0</v>
      </c>
      <c r="K108" s="9" t="b">
        <v>1</v>
      </c>
      <c r="L108" s="19" t="s">
        <v>365</v>
      </c>
      <c r="M108" t="str">
        <f t="shared" si="7"/>
        <v>2026-09-29 00:00</v>
      </c>
      <c r="N108" t="str">
        <f t="shared" si="8"/>
        <v>2026-09-29 13:40</v>
      </c>
      <c r="P108" s="31" t="str">
        <f t="shared" si="9"/>
        <v>('068','JP-068','0080','2026-09-29 00:00','TRUE','2026-09-29 13:40','G-XWBG','FALSE','TRUE')</v>
      </c>
    </row>
    <row r="109" spans="3:16" x14ac:dyDescent="0.3">
      <c r="C109" s="30"/>
    </row>
    <row r="110" spans="3:16" x14ac:dyDescent="0.3">
      <c r="C110" s="30"/>
    </row>
    <row r="111" spans="3:16" x14ac:dyDescent="0.3">
      <c r="C111" s="46" t="s">
        <v>220</v>
      </c>
      <c r="D111" s="47"/>
      <c r="E111" s="47"/>
      <c r="F111" s="47"/>
      <c r="G111" s="48"/>
    </row>
    <row r="112" spans="3:16" x14ac:dyDescent="0.3">
      <c r="C112" s="32" t="s">
        <v>412</v>
      </c>
      <c r="D112" s="32" t="s">
        <v>141</v>
      </c>
      <c r="E112" s="32" t="s">
        <v>94</v>
      </c>
      <c r="F112" s="32" t="s">
        <v>142</v>
      </c>
      <c r="G112" s="32" t="s">
        <v>143</v>
      </c>
      <c r="K112" s="31" t="str">
        <f>"('"&amp;C112&amp;"','"&amp;D112&amp;"','"&amp;E112&amp;"','"&amp;F112&amp;"','"&amp;G112&amp;"')"</f>
        <v>('idCrew','flight','captain','officer','reserve')</v>
      </c>
    </row>
    <row r="113" spans="3:11" x14ac:dyDescent="0.3">
      <c r="C113" s="33" t="s">
        <v>418</v>
      </c>
      <c r="D113" s="9">
        <v>57</v>
      </c>
      <c r="E113" s="33" t="s">
        <v>312</v>
      </c>
      <c r="F113" s="33" t="s">
        <v>319</v>
      </c>
      <c r="G113" s="33" t="s">
        <v>315</v>
      </c>
      <c r="K113" s="31" t="str">
        <f t="shared" ref="K113:K121" si="10">"('"&amp;C113&amp;"','"&amp;D113&amp;"','"&amp;E113&amp;"','"&amp;F113&amp;"','"&amp;G113&amp;"')"</f>
        <v>('00131','57','002','009','005')</v>
      </c>
    </row>
    <row r="114" spans="3:11" x14ac:dyDescent="0.3">
      <c r="C114" s="33" t="s">
        <v>419</v>
      </c>
      <c r="D114" s="9">
        <v>58</v>
      </c>
      <c r="E114" s="33" t="s">
        <v>314</v>
      </c>
      <c r="F114" s="33" t="s">
        <v>319</v>
      </c>
      <c r="G114" s="33" t="s">
        <v>312</v>
      </c>
      <c r="K114" s="31" t="str">
        <f t="shared" si="10"/>
        <v>('00132','58','004','009','002')</v>
      </c>
    </row>
    <row r="115" spans="3:11" x14ac:dyDescent="0.3">
      <c r="C115" s="33" t="s">
        <v>420</v>
      </c>
      <c r="D115" s="9">
        <v>59</v>
      </c>
      <c r="E115" s="33" t="s">
        <v>315</v>
      </c>
      <c r="F115" s="33" t="s">
        <v>322</v>
      </c>
      <c r="G115" s="33" t="s">
        <v>318</v>
      </c>
      <c r="K115" s="31" t="str">
        <f t="shared" si="10"/>
        <v>('00133','59','005','012','008')</v>
      </c>
    </row>
    <row r="116" spans="3:11" x14ac:dyDescent="0.3">
      <c r="C116" s="33" t="s">
        <v>421</v>
      </c>
      <c r="D116" s="9">
        <v>60</v>
      </c>
      <c r="E116" s="33" t="s">
        <v>311</v>
      </c>
      <c r="F116" s="33" t="s">
        <v>321</v>
      </c>
      <c r="G116" s="9"/>
      <c r="K116" s="31" t="str">
        <f t="shared" si="10"/>
        <v>('00134','60','001','011','')</v>
      </c>
    </row>
    <row r="117" spans="3:11" x14ac:dyDescent="0.3">
      <c r="C117" s="33" t="s">
        <v>422</v>
      </c>
      <c r="D117" s="9">
        <v>61</v>
      </c>
      <c r="E117" s="33" t="s">
        <v>312</v>
      </c>
      <c r="F117" s="33" t="s">
        <v>318</v>
      </c>
      <c r="G117" s="33" t="s">
        <v>315</v>
      </c>
      <c r="K117" s="31" t="str">
        <f t="shared" si="10"/>
        <v>('00135','61','002','008','005')</v>
      </c>
    </row>
    <row r="118" spans="3:11" x14ac:dyDescent="0.3">
      <c r="C118" s="33" t="s">
        <v>423</v>
      </c>
      <c r="D118" s="9">
        <v>62</v>
      </c>
      <c r="E118" s="33" t="s">
        <v>313</v>
      </c>
      <c r="F118" s="33" t="s">
        <v>319</v>
      </c>
      <c r="G118" s="9"/>
      <c r="K118" s="31" t="str">
        <f t="shared" si="10"/>
        <v>('00136','62','003','009','')</v>
      </c>
    </row>
    <row r="119" spans="3:11" x14ac:dyDescent="0.3">
      <c r="C119" s="33" t="s">
        <v>424</v>
      </c>
      <c r="D119" s="9">
        <v>63</v>
      </c>
      <c r="E119" s="33" t="s">
        <v>311</v>
      </c>
      <c r="F119" s="33" t="s">
        <v>321</v>
      </c>
      <c r="G119" s="9"/>
      <c r="K119" s="31" t="str">
        <f t="shared" si="10"/>
        <v>('00137','63','001','011','')</v>
      </c>
    </row>
    <row r="120" spans="3:11" x14ac:dyDescent="0.3">
      <c r="C120" s="33" t="s">
        <v>425</v>
      </c>
      <c r="D120" s="9">
        <v>64</v>
      </c>
      <c r="E120" s="33" t="s">
        <v>314</v>
      </c>
      <c r="F120" s="33" t="s">
        <v>317</v>
      </c>
      <c r="G120" s="9"/>
      <c r="K120" s="31" t="str">
        <f t="shared" si="10"/>
        <v>('00138','64','004','007','')</v>
      </c>
    </row>
    <row r="121" spans="3:11" x14ac:dyDescent="0.3">
      <c r="C121" s="33" t="s">
        <v>426</v>
      </c>
      <c r="D121" s="9">
        <v>65</v>
      </c>
      <c r="E121" s="33" t="s">
        <v>315</v>
      </c>
      <c r="F121" s="33" t="s">
        <v>320</v>
      </c>
      <c r="G121" s="9"/>
      <c r="K121" s="31" t="str">
        <f t="shared" si="10"/>
        <v>('00139','65','005','010','')</v>
      </c>
    </row>
    <row r="122" spans="3:11" x14ac:dyDescent="0.3">
      <c r="C122" s="30" t="str">
        <f t="shared" ref="C122:C124" si="11">D122&amp;E122</f>
        <v/>
      </c>
    </row>
    <row r="123" spans="3:11" x14ac:dyDescent="0.3">
      <c r="C123" s="30" t="str">
        <f t="shared" si="11"/>
        <v/>
      </c>
    </row>
    <row r="124" spans="3:11" x14ac:dyDescent="0.3">
      <c r="C124" s="30" t="str">
        <f t="shared" si="11"/>
        <v/>
      </c>
    </row>
    <row r="125" spans="3:11" x14ac:dyDescent="0.3">
      <c r="C125" s="30"/>
    </row>
  </sheetData>
  <mergeCells count="8">
    <mergeCell ref="C11:I11"/>
    <mergeCell ref="C4:G4"/>
    <mergeCell ref="C39:H39"/>
    <mergeCell ref="C75:F75"/>
    <mergeCell ref="C111:G111"/>
    <mergeCell ref="C95:K95"/>
    <mergeCell ref="C59:H59"/>
    <mergeCell ref="C27:E27"/>
  </mergeCells>
  <phoneticPr fontId="17" type="noConversion"/>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0A82-20A7-433B-B0B8-1E3DC9B5A7E9}">
  <sheetPr>
    <tabColor rgb="FFFFC000"/>
  </sheetPr>
  <dimension ref="B17:M125"/>
  <sheetViews>
    <sheetView topLeftCell="A16" workbookViewId="0">
      <selection activeCell="J39" sqref="J39"/>
    </sheetView>
  </sheetViews>
  <sheetFormatPr defaultRowHeight="14.4" x14ac:dyDescent="0.3"/>
  <sheetData>
    <row r="17" spans="2:13" x14ac:dyDescent="0.3">
      <c r="B17" t="s">
        <v>182</v>
      </c>
      <c r="C17" s="23" t="s">
        <v>161</v>
      </c>
    </row>
    <row r="19" spans="2:13" x14ac:dyDescent="0.3">
      <c r="B19">
        <v>1</v>
      </c>
      <c r="C19" s="22" t="s">
        <v>164</v>
      </c>
    </row>
    <row r="20" spans="2:13" x14ac:dyDescent="0.3">
      <c r="D20" s="22" t="s">
        <v>167</v>
      </c>
      <c r="L20" s="29"/>
    </row>
    <row r="21" spans="2:13" x14ac:dyDescent="0.3">
      <c r="D21" s="24" t="s">
        <v>163</v>
      </c>
      <c r="E21" t="s">
        <v>170</v>
      </c>
      <c r="F21" t="s">
        <v>83</v>
      </c>
      <c r="L21" s="29"/>
      <c r="M21" s="29"/>
    </row>
    <row r="22" spans="2:13" x14ac:dyDescent="0.3">
      <c r="D22" s="24" t="s">
        <v>173</v>
      </c>
      <c r="E22" t="s">
        <v>171</v>
      </c>
      <c r="L22" s="29"/>
      <c r="M22" s="29"/>
    </row>
    <row r="23" spans="2:13" x14ac:dyDescent="0.3">
      <c r="D23" s="24"/>
      <c r="E23" t="s">
        <v>180</v>
      </c>
      <c r="L23" s="29"/>
    </row>
    <row r="24" spans="2:13" x14ac:dyDescent="0.3">
      <c r="E24" t="s">
        <v>252</v>
      </c>
      <c r="L24" s="29"/>
    </row>
    <row r="25" spans="2:13" x14ac:dyDescent="0.3">
      <c r="D25" s="24" t="s">
        <v>172</v>
      </c>
      <c r="E25" t="s">
        <v>124</v>
      </c>
      <c r="L25" s="29"/>
      <c r="M25" s="29"/>
    </row>
    <row r="26" spans="2:13" x14ac:dyDescent="0.3">
      <c r="D26" s="24" t="s">
        <v>174</v>
      </c>
      <c r="E26" t="s">
        <v>176</v>
      </c>
      <c r="I26" s="24"/>
      <c r="L26" s="29"/>
      <c r="M26" s="29"/>
    </row>
    <row r="27" spans="2:13" x14ac:dyDescent="0.3">
      <c r="E27" t="s">
        <v>175</v>
      </c>
      <c r="I27" s="24"/>
      <c r="L27" s="29"/>
      <c r="M27" s="29"/>
    </row>
    <row r="29" spans="2:13" x14ac:dyDescent="0.3">
      <c r="D29" s="4" t="s">
        <v>262</v>
      </c>
      <c r="E29" s="4"/>
    </row>
    <row r="30" spans="2:13" x14ac:dyDescent="0.3">
      <c r="D30" s="4" t="s">
        <v>243</v>
      </c>
      <c r="E30" s="4"/>
    </row>
    <row r="31" spans="2:13" x14ac:dyDescent="0.3">
      <c r="D31" s="4" t="s">
        <v>251</v>
      </c>
      <c r="E31" s="4"/>
    </row>
    <row r="32" spans="2:13" x14ac:dyDescent="0.3">
      <c r="D32" s="4" t="s">
        <v>245</v>
      </c>
      <c r="E32" s="4"/>
      <c r="K32" s="35" t="s">
        <v>430</v>
      </c>
    </row>
    <row r="33" spans="4:9" x14ac:dyDescent="0.3">
      <c r="D33" s="4"/>
      <c r="E33" s="4" t="s">
        <v>429</v>
      </c>
    </row>
    <row r="34" spans="4:9" x14ac:dyDescent="0.3">
      <c r="D34" s="4"/>
      <c r="E34" s="4" t="s">
        <v>244</v>
      </c>
    </row>
    <row r="35" spans="4:9" x14ac:dyDescent="0.3">
      <c r="D35" s="4"/>
      <c r="E35" s="4" t="s">
        <v>261</v>
      </c>
    </row>
    <row r="38" spans="4:9" x14ac:dyDescent="0.3">
      <c r="D38" s="22" t="s">
        <v>168</v>
      </c>
    </row>
    <row r="39" spans="4:9" x14ac:dyDescent="0.3">
      <c r="D39" s="19" t="s">
        <v>163</v>
      </c>
      <c r="E39" t="s">
        <v>118</v>
      </c>
      <c r="F39" t="s">
        <v>83</v>
      </c>
    </row>
    <row r="40" spans="4:9" x14ac:dyDescent="0.3">
      <c r="D40" s="24" t="s">
        <v>173</v>
      </c>
      <c r="E40" t="s">
        <v>171</v>
      </c>
    </row>
    <row r="41" spans="4:9" x14ac:dyDescent="0.3">
      <c r="D41" s="24"/>
      <c r="E41" t="s">
        <v>180</v>
      </c>
    </row>
    <row r="42" spans="4:9" x14ac:dyDescent="0.3">
      <c r="E42" t="s">
        <v>252</v>
      </c>
    </row>
    <row r="43" spans="4:9" x14ac:dyDescent="0.3">
      <c r="D43" s="24" t="s">
        <v>172</v>
      </c>
      <c r="E43" t="s">
        <v>124</v>
      </c>
      <c r="I43" s="24"/>
    </row>
    <row r="44" spans="4:9" x14ac:dyDescent="0.3">
      <c r="D44" s="24" t="s">
        <v>174</v>
      </c>
      <c r="E44" t="s">
        <v>177</v>
      </c>
      <c r="I44" s="24"/>
    </row>
    <row r="45" spans="4:9" x14ac:dyDescent="0.3">
      <c r="E45" t="s">
        <v>175</v>
      </c>
    </row>
    <row r="47" spans="4:9" x14ac:dyDescent="0.3">
      <c r="D47" s="4" t="s">
        <v>262</v>
      </c>
      <c r="E47" s="4"/>
    </row>
    <row r="48" spans="4:9" x14ac:dyDescent="0.3">
      <c r="D48" s="4" t="s">
        <v>243</v>
      </c>
      <c r="E48" s="4"/>
    </row>
    <row r="49" spans="2:11" x14ac:dyDescent="0.3">
      <c r="D49" s="4" t="s">
        <v>251</v>
      </c>
      <c r="E49" s="4"/>
    </row>
    <row r="50" spans="2:11" x14ac:dyDescent="0.3">
      <c r="D50" s="4" t="s">
        <v>245</v>
      </c>
      <c r="E50" s="4"/>
      <c r="K50" s="35" t="s">
        <v>430</v>
      </c>
    </row>
    <row r="51" spans="2:11" x14ac:dyDescent="0.3">
      <c r="D51" s="4"/>
      <c r="E51" s="2" t="s">
        <v>263</v>
      </c>
    </row>
    <row r="52" spans="2:11" x14ac:dyDescent="0.3">
      <c r="D52" s="4"/>
      <c r="E52" s="4" t="s">
        <v>244</v>
      </c>
    </row>
    <row r="53" spans="2:11" x14ac:dyDescent="0.3">
      <c r="D53" s="4"/>
      <c r="E53" s="4" t="s">
        <v>264</v>
      </c>
    </row>
    <row r="56" spans="2:11" x14ac:dyDescent="0.3">
      <c r="B56">
        <v>3</v>
      </c>
      <c r="C56" s="23" t="s">
        <v>162</v>
      </c>
    </row>
    <row r="57" spans="2:11" x14ac:dyDescent="0.3">
      <c r="C57" s="24" t="s">
        <v>163</v>
      </c>
      <c r="D57" t="s">
        <v>115</v>
      </c>
      <c r="E57" t="s">
        <v>84</v>
      </c>
    </row>
    <row r="58" spans="2:11" x14ac:dyDescent="0.3">
      <c r="C58" s="24" t="s">
        <v>173</v>
      </c>
      <c r="D58" t="s">
        <v>171</v>
      </c>
    </row>
    <row r="59" spans="2:11" x14ac:dyDescent="0.3">
      <c r="C59" s="24"/>
      <c r="D59" s="19" t="s">
        <v>253</v>
      </c>
    </row>
    <row r="60" spans="2:11" x14ac:dyDescent="0.3">
      <c r="C60" s="24"/>
      <c r="D60" t="s">
        <v>240</v>
      </c>
    </row>
    <row r="61" spans="2:11" x14ac:dyDescent="0.3">
      <c r="C61" s="24" t="s">
        <v>172</v>
      </c>
      <c r="D61" t="s">
        <v>220</v>
      </c>
    </row>
    <row r="62" spans="2:11" x14ac:dyDescent="0.3">
      <c r="C62" s="24" t="s">
        <v>174</v>
      </c>
      <c r="D62" t="s">
        <v>221</v>
      </c>
    </row>
    <row r="63" spans="2:11" x14ac:dyDescent="0.3">
      <c r="C63" s="24"/>
      <c r="D63" t="s">
        <v>175</v>
      </c>
    </row>
    <row r="64" spans="2:11" x14ac:dyDescent="0.3">
      <c r="C64" s="24"/>
    </row>
    <row r="65" spans="2:11" x14ac:dyDescent="0.3">
      <c r="C65" s="24"/>
      <c r="D65" s="4" t="s">
        <v>262</v>
      </c>
      <c r="E65" s="4"/>
    </row>
    <row r="66" spans="2:11" x14ac:dyDescent="0.3">
      <c r="C66" s="24"/>
      <c r="D66" s="4" t="s">
        <v>243</v>
      </c>
      <c r="E66" s="4"/>
    </row>
    <row r="67" spans="2:11" x14ac:dyDescent="0.3">
      <c r="C67" s="24"/>
      <c r="D67" s="4" t="s">
        <v>255</v>
      </c>
    </row>
    <row r="68" spans="2:11" x14ac:dyDescent="0.3">
      <c r="C68" s="24"/>
      <c r="D68" s="4" t="s">
        <v>254</v>
      </c>
      <c r="E68" s="4"/>
      <c r="K68" s="35" t="s">
        <v>431</v>
      </c>
    </row>
    <row r="69" spans="2:11" x14ac:dyDescent="0.3">
      <c r="C69" s="24"/>
      <c r="D69" s="4"/>
      <c r="E69" s="4" t="s">
        <v>241</v>
      </c>
    </row>
    <row r="70" spans="2:11" x14ac:dyDescent="0.3">
      <c r="C70" s="24"/>
      <c r="D70" s="4"/>
      <c r="E70" s="4" t="s">
        <v>242</v>
      </c>
    </row>
    <row r="71" spans="2:11" x14ac:dyDescent="0.3">
      <c r="D71" s="4"/>
      <c r="E71" s="4" t="s">
        <v>246</v>
      </c>
    </row>
    <row r="72" spans="2:11" x14ac:dyDescent="0.3">
      <c r="E72" s="29"/>
    </row>
    <row r="73" spans="2:11" x14ac:dyDescent="0.3">
      <c r="C73" s="23" t="s">
        <v>186</v>
      </c>
    </row>
    <row r="75" spans="2:11" x14ac:dyDescent="0.3">
      <c r="B75">
        <v>2</v>
      </c>
      <c r="D75" s="22" t="s">
        <v>187</v>
      </c>
    </row>
    <row r="76" spans="2:11" x14ac:dyDescent="0.3">
      <c r="D76" s="24" t="s">
        <v>163</v>
      </c>
      <c r="E76" t="s">
        <v>170</v>
      </c>
      <c r="F76" t="s">
        <v>83</v>
      </c>
    </row>
    <row r="77" spans="2:11" x14ac:dyDescent="0.3">
      <c r="D77" s="24" t="s">
        <v>173</v>
      </c>
      <c r="E77" t="s">
        <v>136</v>
      </c>
    </row>
    <row r="78" spans="2:11" x14ac:dyDescent="0.3">
      <c r="D78" s="24"/>
      <c r="E78" t="s">
        <v>188</v>
      </c>
    </row>
    <row r="79" spans="2:11" x14ac:dyDescent="0.3">
      <c r="E79" t="s">
        <v>190</v>
      </c>
    </row>
    <row r="80" spans="2:11" x14ac:dyDescent="0.3">
      <c r="D80" s="24" t="s">
        <v>172</v>
      </c>
      <c r="E80" t="s">
        <v>125</v>
      </c>
    </row>
    <row r="81" spans="2:6" x14ac:dyDescent="0.3">
      <c r="D81" s="24" t="s">
        <v>174</v>
      </c>
      <c r="E81" t="s">
        <v>189</v>
      </c>
    </row>
    <row r="82" spans="2:6" x14ac:dyDescent="0.3">
      <c r="D82" s="24"/>
    </row>
    <row r="83" spans="2:6" x14ac:dyDescent="0.3">
      <c r="D83" s="28" t="s">
        <v>265</v>
      </c>
    </row>
    <row r="84" spans="2:6" x14ac:dyDescent="0.3">
      <c r="D84" s="28" t="s">
        <v>244</v>
      </c>
    </row>
    <row r="85" spans="2:6" x14ac:dyDescent="0.3">
      <c r="D85" s="28" t="s">
        <v>237</v>
      </c>
    </row>
    <row r="86" spans="2:6" x14ac:dyDescent="0.3">
      <c r="D86" s="28" t="s">
        <v>239</v>
      </c>
    </row>
    <row r="88" spans="2:6" x14ac:dyDescent="0.3">
      <c r="B88">
        <v>4</v>
      </c>
      <c r="D88" s="22" t="s">
        <v>179</v>
      </c>
    </row>
    <row r="89" spans="2:6" x14ac:dyDescent="0.3">
      <c r="D89" s="24" t="s">
        <v>163</v>
      </c>
      <c r="E89" t="s">
        <v>102</v>
      </c>
      <c r="F89" t="s">
        <v>84</v>
      </c>
    </row>
    <row r="90" spans="2:6" x14ac:dyDescent="0.3">
      <c r="D90" s="24" t="s">
        <v>173</v>
      </c>
      <c r="E90" t="s">
        <v>136</v>
      </c>
    </row>
    <row r="91" spans="2:6" x14ac:dyDescent="0.3">
      <c r="E91" t="s">
        <v>188</v>
      </c>
    </row>
    <row r="92" spans="2:6" x14ac:dyDescent="0.3">
      <c r="E92" t="s">
        <v>137</v>
      </c>
    </row>
    <row r="93" spans="2:6" x14ac:dyDescent="0.3">
      <c r="E93" t="s">
        <v>190</v>
      </c>
    </row>
    <row r="94" spans="2:6" x14ac:dyDescent="0.3">
      <c r="D94" s="24" t="s">
        <v>172</v>
      </c>
      <c r="E94" t="s">
        <v>125</v>
      </c>
    </row>
    <row r="95" spans="2:6" x14ac:dyDescent="0.3">
      <c r="D95" s="24" t="s">
        <v>174</v>
      </c>
      <c r="E95" t="s">
        <v>191</v>
      </c>
    </row>
    <row r="96" spans="2:6" x14ac:dyDescent="0.3">
      <c r="C96" s="24"/>
    </row>
    <row r="97" spans="3:6" x14ac:dyDescent="0.3">
      <c r="D97" s="28" t="s">
        <v>265</v>
      </c>
    </row>
    <row r="98" spans="3:6" x14ac:dyDescent="0.3">
      <c r="D98" s="28" t="s">
        <v>244</v>
      </c>
    </row>
    <row r="99" spans="3:6" x14ac:dyDescent="0.3">
      <c r="D99" s="28" t="s">
        <v>236</v>
      </c>
    </row>
    <row r="100" spans="3:6" x14ac:dyDescent="0.3">
      <c r="D100" s="28" t="s">
        <v>238</v>
      </c>
    </row>
    <row r="102" spans="3:6" x14ac:dyDescent="0.3">
      <c r="C102" s="27" t="s">
        <v>161</v>
      </c>
    </row>
    <row r="103" spans="3:6" x14ac:dyDescent="0.3">
      <c r="C103" s="25" t="s">
        <v>165</v>
      </c>
      <c r="D103" s="2"/>
      <c r="E103" s="2"/>
      <c r="F103" s="2"/>
    </row>
    <row r="104" spans="3:6" x14ac:dyDescent="0.3">
      <c r="C104" s="2"/>
      <c r="D104" s="25" t="s">
        <v>166</v>
      </c>
      <c r="E104" s="2"/>
      <c r="F104" s="2"/>
    </row>
    <row r="105" spans="3:6" x14ac:dyDescent="0.3">
      <c r="C105" s="2"/>
      <c r="D105" s="26" t="s">
        <v>163</v>
      </c>
      <c r="E105" s="2" t="s">
        <v>111</v>
      </c>
      <c r="F105" s="2" t="s">
        <v>87</v>
      </c>
    </row>
    <row r="106" spans="3:6" x14ac:dyDescent="0.3">
      <c r="C106" s="2"/>
      <c r="D106" s="26" t="s">
        <v>173</v>
      </c>
      <c r="E106" s="2" t="s">
        <v>171</v>
      </c>
      <c r="F106" s="2"/>
    </row>
    <row r="107" spans="3:6" x14ac:dyDescent="0.3">
      <c r="C107" s="2"/>
      <c r="D107" s="2"/>
      <c r="E107" s="2" t="s">
        <v>134</v>
      </c>
      <c r="F107" s="2"/>
    </row>
    <row r="108" spans="3:6" x14ac:dyDescent="0.3">
      <c r="C108" s="2"/>
      <c r="D108" s="2"/>
      <c r="E108" s="2" t="s">
        <v>135</v>
      </c>
      <c r="F108" s="2"/>
    </row>
    <row r="109" spans="3:6" x14ac:dyDescent="0.3">
      <c r="C109" s="2"/>
      <c r="D109" s="2"/>
      <c r="E109" s="2" t="s">
        <v>180</v>
      </c>
      <c r="F109" s="2"/>
    </row>
    <row r="110" spans="3:6" x14ac:dyDescent="0.3">
      <c r="C110" s="2"/>
      <c r="D110" s="26" t="s">
        <v>172</v>
      </c>
      <c r="E110" s="2" t="s">
        <v>124</v>
      </c>
      <c r="F110" s="2"/>
    </row>
    <row r="111" spans="3:6" x14ac:dyDescent="0.3">
      <c r="C111" s="25"/>
      <c r="D111" s="26" t="s">
        <v>174</v>
      </c>
      <c r="E111" s="2" t="s">
        <v>178</v>
      </c>
      <c r="F111" s="2"/>
    </row>
    <row r="112" spans="3:6" x14ac:dyDescent="0.3">
      <c r="C112" s="25"/>
      <c r="D112" s="26"/>
      <c r="E112" s="2" t="s">
        <v>175</v>
      </c>
      <c r="F112" s="2"/>
    </row>
    <row r="113" spans="3:6" x14ac:dyDescent="0.3">
      <c r="C113" s="22"/>
      <c r="D113" s="24"/>
    </row>
    <row r="114" spans="3:6" x14ac:dyDescent="0.3">
      <c r="C114" s="22"/>
      <c r="D114" s="24"/>
    </row>
    <row r="115" spans="3:6" x14ac:dyDescent="0.3">
      <c r="C115" s="22"/>
      <c r="D115" s="24"/>
    </row>
    <row r="117" spans="3:6" x14ac:dyDescent="0.3">
      <c r="C117" s="25" t="s">
        <v>169</v>
      </c>
      <c r="D117" s="2"/>
      <c r="E117" s="2"/>
      <c r="F117" s="2"/>
    </row>
    <row r="118" spans="3:6" x14ac:dyDescent="0.3">
      <c r="C118" s="2"/>
      <c r="D118" s="26" t="s">
        <v>163</v>
      </c>
      <c r="E118" s="2" t="s">
        <v>88</v>
      </c>
      <c r="F118" s="2" t="s">
        <v>86</v>
      </c>
    </row>
    <row r="119" spans="3:6" x14ac:dyDescent="0.3">
      <c r="C119" s="2"/>
      <c r="D119" s="26" t="s">
        <v>173</v>
      </c>
      <c r="E119" s="2" t="s">
        <v>171</v>
      </c>
      <c r="F119" s="2"/>
    </row>
    <row r="120" spans="3:6" x14ac:dyDescent="0.3">
      <c r="C120" s="2"/>
      <c r="D120" s="26"/>
      <c r="E120" s="2" t="s">
        <v>134</v>
      </c>
      <c r="F120" s="2"/>
    </row>
    <row r="121" spans="3:6" x14ac:dyDescent="0.3">
      <c r="C121" s="2"/>
      <c r="D121" s="26"/>
      <c r="E121" s="2" t="s">
        <v>135</v>
      </c>
      <c r="F121" s="2"/>
    </row>
    <row r="122" spans="3:6" x14ac:dyDescent="0.3">
      <c r="C122" s="2"/>
      <c r="D122" s="26"/>
      <c r="E122" s="2" t="s">
        <v>180</v>
      </c>
      <c r="F122" s="2"/>
    </row>
    <row r="123" spans="3:6" x14ac:dyDescent="0.3">
      <c r="C123" s="2"/>
      <c r="D123" s="26" t="s">
        <v>172</v>
      </c>
      <c r="E123" s="2" t="s">
        <v>124</v>
      </c>
      <c r="F123" s="2"/>
    </row>
    <row r="124" spans="3:6" x14ac:dyDescent="0.3">
      <c r="C124" s="2"/>
      <c r="D124" s="26" t="s">
        <v>174</v>
      </c>
      <c r="E124" s="2" t="s">
        <v>181</v>
      </c>
      <c r="F124" s="2"/>
    </row>
    <row r="125" spans="3:6" x14ac:dyDescent="0.3">
      <c r="C125" s="2"/>
      <c r="D125" s="26"/>
      <c r="E125" s="2" t="s">
        <v>175</v>
      </c>
      <c r="F125" s="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2A80F-B447-4284-B660-889B11426E2D}">
  <sheetPr>
    <tabColor rgb="FFFFC000"/>
  </sheetPr>
  <dimension ref="B17:G105"/>
  <sheetViews>
    <sheetView tabSelected="1" workbookViewId="0">
      <selection activeCell="I24" sqref="I24"/>
    </sheetView>
  </sheetViews>
  <sheetFormatPr defaultRowHeight="14.4" x14ac:dyDescent="0.3"/>
  <sheetData>
    <row r="17" spans="2:7" x14ac:dyDescent="0.3">
      <c r="B17" t="s">
        <v>182</v>
      </c>
      <c r="C17" s="23" t="s">
        <v>183</v>
      </c>
    </row>
    <row r="18" spans="2:7" x14ac:dyDescent="0.3">
      <c r="B18">
        <v>1</v>
      </c>
    </row>
    <row r="19" spans="2:7" x14ac:dyDescent="0.3">
      <c r="C19" s="24" t="s">
        <v>192</v>
      </c>
      <c r="D19" t="s">
        <v>206</v>
      </c>
      <c r="F19" t="s">
        <v>84</v>
      </c>
    </row>
    <row r="20" spans="2:7" x14ac:dyDescent="0.3">
      <c r="D20" t="s">
        <v>104</v>
      </c>
      <c r="F20" t="s">
        <v>87</v>
      </c>
    </row>
    <row r="21" spans="2:7" x14ac:dyDescent="0.3">
      <c r="D21" t="s">
        <v>108</v>
      </c>
      <c r="F21" t="s">
        <v>203</v>
      </c>
      <c r="G21" t="s">
        <v>207</v>
      </c>
    </row>
    <row r="22" spans="2:7" x14ac:dyDescent="0.3">
      <c r="D22" t="s">
        <v>138</v>
      </c>
      <c r="G22" t="s">
        <v>210</v>
      </c>
    </row>
    <row r="24" spans="2:7" x14ac:dyDescent="0.3">
      <c r="C24" s="24" t="s">
        <v>204</v>
      </c>
      <c r="D24" t="s">
        <v>106</v>
      </c>
      <c r="F24" t="s">
        <v>84</v>
      </c>
      <c r="G24" t="s">
        <v>218</v>
      </c>
    </row>
    <row r="25" spans="2:7" x14ac:dyDescent="0.3">
      <c r="D25" t="s">
        <v>205</v>
      </c>
    </row>
    <row r="26" spans="2:7" x14ac:dyDescent="0.3">
      <c r="D26" t="s">
        <v>208</v>
      </c>
    </row>
    <row r="27" spans="2:7" x14ac:dyDescent="0.3">
      <c r="D27" t="s">
        <v>209</v>
      </c>
    </row>
    <row r="28" spans="2:7" x14ac:dyDescent="0.3">
      <c r="D28" t="s">
        <v>213</v>
      </c>
    </row>
    <row r="29" spans="2:7" x14ac:dyDescent="0.3">
      <c r="D29" t="s">
        <v>214</v>
      </c>
    </row>
    <row r="31" spans="2:7" x14ac:dyDescent="0.3">
      <c r="C31" s="24" t="s">
        <v>174</v>
      </c>
      <c r="D31" t="s">
        <v>215</v>
      </c>
    </row>
    <row r="32" spans="2:7" x14ac:dyDescent="0.3">
      <c r="D32" t="s">
        <v>216</v>
      </c>
    </row>
    <row r="33" spans="2:6" x14ac:dyDescent="0.3">
      <c r="D33" t="s">
        <v>211</v>
      </c>
    </row>
    <row r="34" spans="2:6" x14ac:dyDescent="0.3">
      <c r="D34" t="s">
        <v>212</v>
      </c>
    </row>
    <row r="35" spans="2:6" x14ac:dyDescent="0.3">
      <c r="D35" t="s">
        <v>233</v>
      </c>
    </row>
    <row r="37" spans="2:6" x14ac:dyDescent="0.3">
      <c r="C37" t="s">
        <v>199</v>
      </c>
      <c r="D37" t="s">
        <v>201</v>
      </c>
    </row>
    <row r="44" spans="2:6" x14ac:dyDescent="0.3">
      <c r="B44">
        <v>2</v>
      </c>
      <c r="C44" s="23" t="s">
        <v>184</v>
      </c>
    </row>
    <row r="46" spans="2:6" x14ac:dyDescent="0.3">
      <c r="C46" s="24" t="s">
        <v>192</v>
      </c>
      <c r="D46" t="s">
        <v>106</v>
      </c>
      <c r="F46" t="s">
        <v>84</v>
      </c>
    </row>
    <row r="48" spans="2:6" x14ac:dyDescent="0.3">
      <c r="C48" s="24" t="s">
        <v>174</v>
      </c>
      <c r="D48" t="s">
        <v>225</v>
      </c>
    </row>
    <row r="50" spans="3:7" x14ac:dyDescent="0.3">
      <c r="C50" s="24" t="s">
        <v>227</v>
      </c>
      <c r="D50" t="s">
        <v>108</v>
      </c>
      <c r="F50" t="s">
        <v>203</v>
      </c>
      <c r="G50" t="s">
        <v>207</v>
      </c>
    </row>
    <row r="52" spans="3:7" x14ac:dyDescent="0.3">
      <c r="C52" s="24" t="s">
        <v>228</v>
      </c>
      <c r="D52" t="s">
        <v>234</v>
      </c>
    </row>
    <row r="53" spans="3:7" x14ac:dyDescent="0.3">
      <c r="C53" s="24"/>
      <c r="D53" t="s">
        <v>233</v>
      </c>
    </row>
    <row r="55" spans="3:7" x14ac:dyDescent="0.3">
      <c r="C55" s="24" t="s">
        <v>229</v>
      </c>
      <c r="D55" t="s">
        <v>110</v>
      </c>
      <c r="F55" t="s">
        <v>210</v>
      </c>
    </row>
    <row r="57" spans="3:7" x14ac:dyDescent="0.3">
      <c r="C57" s="24" t="s">
        <v>230</v>
      </c>
      <c r="D57" t="s">
        <v>212</v>
      </c>
    </row>
    <row r="59" spans="3:7" x14ac:dyDescent="0.3">
      <c r="C59" s="24" t="s">
        <v>231</v>
      </c>
      <c r="D59" t="s">
        <v>89</v>
      </c>
      <c r="E59" t="s">
        <v>87</v>
      </c>
    </row>
    <row r="61" spans="3:7" x14ac:dyDescent="0.3">
      <c r="C61" s="24" t="s">
        <v>232</v>
      </c>
      <c r="D61" t="s">
        <v>130</v>
      </c>
    </row>
    <row r="63" spans="3:7" x14ac:dyDescent="0.3">
      <c r="C63" t="s">
        <v>202</v>
      </c>
      <c r="D63" t="s">
        <v>226</v>
      </c>
    </row>
    <row r="69" spans="2:6" x14ac:dyDescent="0.3">
      <c r="B69">
        <v>3</v>
      </c>
      <c r="C69" s="23" t="s">
        <v>185</v>
      </c>
    </row>
    <row r="71" spans="2:6" x14ac:dyDescent="0.3">
      <c r="C71" s="24" t="s">
        <v>192</v>
      </c>
      <c r="D71" t="s">
        <v>193</v>
      </c>
      <c r="F71" t="s">
        <v>84</v>
      </c>
    </row>
    <row r="72" spans="2:6" x14ac:dyDescent="0.3">
      <c r="D72" t="s">
        <v>131</v>
      </c>
      <c r="F72" t="s">
        <v>84</v>
      </c>
    </row>
    <row r="73" spans="2:6" x14ac:dyDescent="0.3">
      <c r="D73" t="s">
        <v>131</v>
      </c>
      <c r="F73" t="s">
        <v>84</v>
      </c>
    </row>
    <row r="74" spans="2:6" x14ac:dyDescent="0.3">
      <c r="D74" t="s">
        <v>131</v>
      </c>
      <c r="F74" t="s">
        <v>84</v>
      </c>
    </row>
    <row r="76" spans="2:6" x14ac:dyDescent="0.3">
      <c r="C76" s="24" t="s">
        <v>174</v>
      </c>
      <c r="D76" t="s">
        <v>196</v>
      </c>
    </row>
    <row r="77" spans="2:6" x14ac:dyDescent="0.3">
      <c r="D77" t="s">
        <v>197</v>
      </c>
    </row>
    <row r="78" spans="2:6" x14ac:dyDescent="0.3">
      <c r="D78" t="s">
        <v>200</v>
      </c>
    </row>
    <row r="79" spans="2:6" x14ac:dyDescent="0.3">
      <c r="D79" t="s">
        <v>198</v>
      </c>
    </row>
    <row r="80" spans="2:6" x14ac:dyDescent="0.3">
      <c r="D80" t="s">
        <v>195</v>
      </c>
    </row>
    <row r="81" spans="2:7" x14ac:dyDescent="0.3">
      <c r="D81" t="s">
        <v>249</v>
      </c>
      <c r="G81" s="2" t="s">
        <v>250</v>
      </c>
    </row>
    <row r="83" spans="2:7" x14ac:dyDescent="0.3">
      <c r="C83" s="24" t="s">
        <v>199</v>
      </c>
      <c r="D83" t="s">
        <v>222</v>
      </c>
    </row>
    <row r="84" spans="2:7" x14ac:dyDescent="0.3">
      <c r="C84" s="24"/>
      <c r="D84" t="s">
        <v>235</v>
      </c>
    </row>
    <row r="86" spans="2:7" x14ac:dyDescent="0.3">
      <c r="C86" s="24"/>
    </row>
    <row r="87" spans="2:7" x14ac:dyDescent="0.3">
      <c r="C87" s="24"/>
    </row>
    <row r="88" spans="2:7" x14ac:dyDescent="0.3">
      <c r="C88" s="24"/>
    </row>
    <row r="91" spans="2:7" x14ac:dyDescent="0.3">
      <c r="B91">
        <v>4</v>
      </c>
      <c r="C91" s="23" t="s">
        <v>217</v>
      </c>
    </row>
    <row r="93" spans="2:7" x14ac:dyDescent="0.3">
      <c r="C93" s="24" t="s">
        <v>192</v>
      </c>
      <c r="D93" t="s">
        <v>117</v>
      </c>
      <c r="E93" t="s">
        <v>84</v>
      </c>
    </row>
    <row r="95" spans="2:7" x14ac:dyDescent="0.3">
      <c r="C95" s="24" t="s">
        <v>174</v>
      </c>
      <c r="D95" t="s">
        <v>223</v>
      </c>
    </row>
    <row r="97" spans="3:5" x14ac:dyDescent="0.3">
      <c r="C97" s="24" t="s">
        <v>227</v>
      </c>
      <c r="D97" t="s">
        <v>102</v>
      </c>
      <c r="E97" t="s">
        <v>84</v>
      </c>
    </row>
    <row r="99" spans="3:5" x14ac:dyDescent="0.3">
      <c r="C99" s="24" t="s">
        <v>228</v>
      </c>
      <c r="D99" t="s">
        <v>224</v>
      </c>
    </row>
    <row r="101" spans="3:5" x14ac:dyDescent="0.3">
      <c r="C101" s="24" t="s">
        <v>229</v>
      </c>
      <c r="D101" t="s">
        <v>89</v>
      </c>
      <c r="E101" t="s">
        <v>87</v>
      </c>
    </row>
    <row r="103" spans="3:5" x14ac:dyDescent="0.3">
      <c r="C103" s="24" t="s">
        <v>230</v>
      </c>
      <c r="D103" t="s">
        <v>130</v>
      </c>
    </row>
    <row r="105" spans="3:5" x14ac:dyDescent="0.3">
      <c r="C105" t="s">
        <v>199</v>
      </c>
      <c r="D105" t="s">
        <v>219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0EA2-53AA-4103-905B-9FC4B576AF3F}">
  <sheetPr>
    <tabColor rgb="FFFFC000"/>
  </sheetPr>
  <dimension ref="A1"/>
  <sheetViews>
    <sheetView workbookViewId="0">
      <selection activeCell="N31" sqref="N31"/>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 DO</vt:lpstr>
      <vt:lpstr>Requirements</vt:lpstr>
      <vt:lpstr>ER Diagram</vt:lpstr>
      <vt:lpstr>Relational Schema</vt:lpstr>
      <vt:lpstr>Table SQL</vt:lpstr>
      <vt:lpstr>Data</vt:lpstr>
      <vt:lpstr>Query SQL</vt:lpstr>
      <vt:lpstr>Input SQL</vt:lpstr>
      <vt:lpstr>Edit SQL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Hucker</dc:creator>
  <cp:lastModifiedBy>Paul Hucker</cp:lastModifiedBy>
  <dcterms:created xsi:type="dcterms:W3CDTF">2026-10-09T11:09:12Z</dcterms:created>
  <dcterms:modified xsi:type="dcterms:W3CDTF">2026-10-13T21:22:59Z</dcterms:modified>
</cp:coreProperties>
</file>